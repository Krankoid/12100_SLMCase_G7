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erskrenk/Documents/Master's/2nd semester/12100 Quantitative Sustainability/12100_SLMCase_G7/out_lifecycle/"/>
    </mc:Choice>
  </mc:AlternateContent>
  <xr:revisionPtr revIDLastSave="0" documentId="13_ncr:1_{DD81C3D8-9783-0649-9632-36513E5EA8E1}" xr6:coauthVersionLast="47" xr6:coauthVersionMax="47" xr10:uidLastSave="{00000000-0000-0000-0000-000000000000}"/>
  <bookViews>
    <workbookView xWindow="0" yWindow="660" windowWidth="30240" windowHeight="17240" activeTab="5" xr2:uid="{911B1575-BFA6-4D34-8364-EC4E252D4E03}"/>
  </bookViews>
  <sheets>
    <sheet name="scenario5" sheetId="1" r:id="rId1"/>
    <sheet name="scenario2" sheetId="2" r:id="rId2"/>
    <sheet name="scenario3" sheetId="3" r:id="rId3"/>
    <sheet name="scenario4" sheetId="4" r:id="rId4"/>
    <sheet name="scenario1" sheetId="5" r:id="rId5"/>
    <sheet name="infographic char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2" i="1" l="1"/>
  <c r="T12" i="1"/>
  <c r="S12" i="1"/>
  <c r="R12" i="1"/>
  <c r="Q12" i="1"/>
  <c r="P12" i="1"/>
  <c r="O12" i="1"/>
  <c r="N12" i="1"/>
  <c r="M12" i="1"/>
  <c r="L12" i="1"/>
  <c r="U11" i="1"/>
  <c r="T11" i="1"/>
  <c r="S11" i="1"/>
  <c r="R11" i="1"/>
  <c r="Q11" i="1"/>
  <c r="P11" i="1"/>
  <c r="O11" i="1"/>
  <c r="N11" i="1"/>
  <c r="M11" i="1"/>
  <c r="L11" i="1"/>
  <c r="U10" i="1"/>
  <c r="T10" i="1"/>
  <c r="S10" i="1"/>
  <c r="R10" i="1"/>
  <c r="Q10" i="1"/>
  <c r="P10" i="1"/>
  <c r="O10" i="1"/>
  <c r="N10" i="1"/>
  <c r="M10" i="1"/>
  <c r="L10" i="1"/>
  <c r="U9" i="1"/>
  <c r="T9" i="1"/>
  <c r="S9" i="1"/>
  <c r="R9" i="1"/>
  <c r="Q9" i="1"/>
  <c r="P9" i="1"/>
  <c r="O9" i="1"/>
  <c r="N9" i="1"/>
  <c r="M9" i="1"/>
  <c r="L9" i="1"/>
  <c r="U10" i="4"/>
  <c r="U11" i="4"/>
  <c r="U12" i="4"/>
  <c r="T10" i="4"/>
  <c r="T11" i="4"/>
  <c r="T12" i="4"/>
  <c r="S10" i="4"/>
  <c r="S11" i="4"/>
  <c r="S12" i="4"/>
  <c r="R10" i="4"/>
  <c r="R11" i="4"/>
  <c r="R12" i="4"/>
  <c r="Q10" i="4"/>
  <c r="Q11" i="4"/>
  <c r="Q12" i="4"/>
  <c r="U9" i="4"/>
  <c r="T9" i="4"/>
  <c r="S9" i="4"/>
  <c r="R9" i="4"/>
  <c r="Q9" i="4"/>
  <c r="P10" i="4"/>
  <c r="P11" i="4"/>
  <c r="P12" i="4"/>
  <c r="O10" i="4"/>
  <c r="O11" i="4"/>
  <c r="O12" i="4"/>
  <c r="N10" i="4"/>
  <c r="N11" i="4"/>
  <c r="N12" i="4"/>
  <c r="M10" i="4"/>
  <c r="M11" i="4"/>
  <c r="M12" i="4"/>
  <c r="L10" i="4"/>
  <c r="L11" i="4"/>
  <c r="L12" i="4"/>
  <c r="P9" i="4"/>
  <c r="O9" i="4"/>
  <c r="N9" i="4"/>
  <c r="M9" i="4"/>
  <c r="L9" i="4"/>
  <c r="M11" i="3"/>
  <c r="M12" i="3"/>
  <c r="M13" i="3"/>
  <c r="M14" i="3"/>
  <c r="L11" i="3"/>
  <c r="L12" i="3"/>
  <c r="L13" i="3"/>
  <c r="L14" i="3"/>
  <c r="K11" i="3"/>
  <c r="K12" i="3"/>
  <c r="K13" i="3"/>
  <c r="K14" i="3"/>
  <c r="M10" i="3"/>
  <c r="L10" i="3"/>
  <c r="K10" i="3"/>
  <c r="J11" i="3"/>
  <c r="J12" i="3"/>
  <c r="J13" i="3"/>
  <c r="J14" i="3"/>
  <c r="I11" i="3"/>
  <c r="I12" i="3"/>
  <c r="I13" i="3"/>
  <c r="I14" i="3"/>
  <c r="J10" i="3"/>
  <c r="I10" i="3"/>
  <c r="H11" i="3"/>
  <c r="H12" i="3"/>
  <c r="H13" i="3"/>
  <c r="H14" i="3"/>
  <c r="H10" i="3"/>
  <c r="L11" i="2"/>
  <c r="L12" i="2"/>
  <c r="L13" i="2"/>
  <c r="L14" i="2"/>
  <c r="L10" i="2"/>
  <c r="M11" i="2"/>
  <c r="M12" i="2"/>
  <c r="M13" i="2"/>
  <c r="M14" i="2"/>
  <c r="M10" i="2"/>
  <c r="K11" i="2"/>
  <c r="K12" i="2"/>
  <c r="K13" i="2"/>
  <c r="K14" i="2"/>
  <c r="K10" i="2"/>
  <c r="J11" i="2"/>
  <c r="J12" i="2"/>
  <c r="J13" i="2"/>
  <c r="J14" i="2"/>
  <c r="J10" i="2"/>
  <c r="I11" i="2"/>
  <c r="I12" i="2"/>
  <c r="I13" i="2"/>
  <c r="I14" i="2"/>
  <c r="I10" i="2"/>
  <c r="H11" i="2"/>
  <c r="H12" i="2"/>
  <c r="H13" i="2"/>
  <c r="H14" i="2"/>
  <c r="H10" i="2"/>
  <c r="I11" i="5"/>
  <c r="I12" i="5"/>
  <c r="I13" i="5"/>
  <c r="I14" i="5"/>
  <c r="I10" i="5"/>
  <c r="E10" i="5"/>
  <c r="E11" i="5"/>
  <c r="E12" i="5"/>
  <c r="E13" i="5"/>
  <c r="E14" i="5"/>
  <c r="H11" i="5"/>
  <c r="H12" i="5"/>
  <c r="H13" i="5"/>
  <c r="H14" i="5"/>
  <c r="H10" i="5"/>
  <c r="D10" i="5"/>
  <c r="D11" i="5"/>
  <c r="D12" i="5"/>
  <c r="D13" i="5"/>
  <c r="D14" i="5"/>
  <c r="B15" i="5"/>
</calcChain>
</file>

<file path=xl/sharedStrings.xml><?xml version="1.0" encoding="utf-8"?>
<sst xmlns="http://schemas.openxmlformats.org/spreadsheetml/2006/main" count="301" uniqueCount="69">
  <si>
    <t>stage</t>
  </si>
  <si>
    <t>energy_kwh</t>
  </si>
  <si>
    <t>setup</t>
  </si>
  <si>
    <t>forward</t>
  </si>
  <si>
    <t>backward_update</t>
  </si>
  <si>
    <t>evaluation</t>
  </si>
  <si>
    <t>training_loop</t>
  </si>
  <si>
    <t>mean_call_duration_s</t>
  </si>
  <si>
    <t>emissions_kg</t>
  </si>
  <si>
    <t>n_calls</t>
  </si>
  <si>
    <t>total_duration_s</t>
  </si>
  <si>
    <t>Energy (kWh)</t>
  </si>
  <si>
    <t>Stage</t>
  </si>
  <si>
    <t>CPU</t>
  </si>
  <si>
    <t>GPU</t>
  </si>
  <si>
    <t>Energy price in Denmark (2026 04 08) (kWh/DKK)</t>
  </si>
  <si>
    <t>AWS cloud costs g4dn.xlarge (GPU) (DKK/hr)</t>
  </si>
  <si>
    <t>AWS cloud costs c6i.large (CPU) (DKK/hr)</t>
  </si>
  <si>
    <t>Setup</t>
  </si>
  <si>
    <t>Forward pass</t>
  </si>
  <si>
    <t>Backward prop</t>
  </si>
  <si>
    <t>Eval</t>
  </si>
  <si>
    <t>Train</t>
  </si>
  <si>
    <t>Electricity</t>
  </si>
  <si>
    <t>AWS</t>
  </si>
  <si>
    <t>l4</t>
  </si>
  <si>
    <t>l6</t>
  </si>
  <si>
    <t>Electricity price</t>
  </si>
  <si>
    <t>GPU, Electricity</t>
  </si>
  <si>
    <t>GPU, AWS</t>
  </si>
  <si>
    <t>CPU, Electricity</t>
  </si>
  <si>
    <t>CPU, AWS</t>
  </si>
  <si>
    <t xml:space="preserve">4 layers, electricity </t>
  </si>
  <si>
    <t>4 layers, AWS</t>
  </si>
  <si>
    <t>6 layers, electricity</t>
  </si>
  <si>
    <t>6 layers, AWS</t>
  </si>
  <si>
    <t>12 layers, electricity</t>
  </si>
  <si>
    <t>12 layers, AWS</t>
  </si>
  <si>
    <t>batch 32</t>
  </si>
  <si>
    <t>batch 64</t>
  </si>
  <si>
    <t>batch 32, electricity</t>
  </si>
  <si>
    <t>batch 64, electricity</t>
  </si>
  <si>
    <t>batch 96, electricity</t>
  </si>
  <si>
    <t>batch 32, AWS</t>
  </si>
  <si>
    <t xml:space="preserve">batch 64, AWS </t>
  </si>
  <si>
    <t>batch 96, AWS</t>
  </si>
  <si>
    <t>encoding</t>
  </si>
  <si>
    <t>generation</t>
  </si>
  <si>
    <t>decoding</t>
  </si>
  <si>
    <t>0,6</t>
  </si>
  <si>
    <t>Total duration (s)</t>
  </si>
  <si>
    <t>Encoding</t>
  </si>
  <si>
    <t>Generation</t>
  </si>
  <si>
    <t>Decoding</t>
  </si>
  <si>
    <t>0,8</t>
  </si>
  <si>
    <t>1,0</t>
  </si>
  <si>
    <t>1,2</t>
  </si>
  <si>
    <t>1,4</t>
  </si>
  <si>
    <t>Tokens = 500</t>
  </si>
  <si>
    <t>Tokens = 750</t>
  </si>
  <si>
    <t>Tokens = 1000</t>
  </si>
  <si>
    <t>Tokens = 1250</t>
  </si>
  <si>
    <t>Tokens = 1500</t>
  </si>
  <si>
    <t>Price (DKK), electricity</t>
  </si>
  <si>
    <t>Price (DKK), AWS</t>
  </si>
  <si>
    <t>Total call duration (s)</t>
  </si>
  <si>
    <t xml:space="preserve">Price per training FU. Variable number of layers. Danish electricity </t>
  </si>
  <si>
    <t>Electricity costs based on PU type</t>
  </si>
  <si>
    <t xml:space="preserve">Price per inference FU. Variable tokens. Danish 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</si>
</sst>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595959"/>
      <name val="Aptos Narrow"/>
      <scheme val="minor"/>
    </font>
    <font>
      <sz val="14"/>
      <color rgb="FF59595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5" borderId="1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8" xfId="0" applyFill="1" applyBorder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8" xfId="0" applyFill="1" applyBorder="1"/>
    <xf numFmtId="0" fontId="0" fillId="6" borderId="1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7" borderId="1" xfId="0" applyFill="1" applyBorder="1"/>
    <xf numFmtId="0" fontId="0" fillId="7" borderId="3" xfId="0" applyFill="1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8" xfId="0" applyFill="1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10" xfId="0" applyBorder="1"/>
    <xf numFmtId="0" fontId="0" fillId="0" borderId="16" xfId="0" applyBorder="1"/>
    <xf numFmtId="0" fontId="0" fillId="0" borderId="15" xfId="0" applyBorder="1" applyAlignment="1">
      <alignment horizontal="center"/>
    </xf>
    <xf numFmtId="49" fontId="0" fillId="0" borderId="11" xfId="0" applyNumberFormat="1" applyBorder="1"/>
    <xf numFmtId="49" fontId="0" fillId="0" borderId="0" xfId="0" applyNumberFormat="1"/>
    <xf numFmtId="49" fontId="0" fillId="0" borderId="12" xfId="0" applyNumberFormat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inference FU. Variable tokens. Danish electricity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scenario5!$A$9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scenario5!$L$9:$P$9</c:f>
              <c:numCache>
                <c:formatCode>General</c:formatCode>
                <c:ptCount val="5"/>
                <c:pt idx="0">
                  <c:v>1.7652E-5</c:v>
                </c:pt>
                <c:pt idx="1">
                  <c:v>1.5985499999999998E-5</c:v>
                </c:pt>
                <c:pt idx="2">
                  <c:v>1.7986E-5</c:v>
                </c:pt>
                <c:pt idx="3">
                  <c:v>1.6858250000000001E-5</c:v>
                </c:pt>
                <c:pt idx="4">
                  <c:v>1.65135E-5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A-4E3D-8DCB-98B443AE190F}"/>
            </c:ext>
          </c:extLst>
        </c:ser>
        <c:ser>
          <c:idx val="1"/>
          <c:order val="1"/>
          <c:tx>
            <c:strRef>
              <c:f>scenario5!$A$10</c:f>
              <c:strCache>
                <c:ptCount val="1"/>
                <c:pt idx="0">
                  <c:v>Encoding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scenario5!$L$10:$P$10</c:f>
              <c:numCache>
                <c:formatCode>General</c:formatCode>
                <c:ptCount val="5"/>
                <c:pt idx="0">
                  <c:v>1.404625E-5</c:v>
                </c:pt>
                <c:pt idx="1">
                  <c:v>1.4442499999999999E-5</c:v>
                </c:pt>
                <c:pt idx="2">
                  <c:v>1.4378E-5</c:v>
                </c:pt>
                <c:pt idx="3">
                  <c:v>1.389875E-5</c:v>
                </c:pt>
                <c:pt idx="4">
                  <c:v>1.4748250000000001E-5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A-4E3D-8DCB-98B443AE190F}"/>
            </c:ext>
          </c:extLst>
        </c:ser>
        <c:ser>
          <c:idx val="2"/>
          <c:order val="2"/>
          <c:tx>
            <c:strRef>
              <c:f>scenario5!$A$11</c:f>
              <c:strCache>
                <c:ptCount val="1"/>
                <c:pt idx="0">
                  <c:v>Generation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scenario5!$L$11:$P$11</c:f>
              <c:numCache>
                <c:formatCode>General</c:formatCode>
                <c:ptCount val="5"/>
                <c:pt idx="0">
                  <c:v>1.0230324999999999E-4</c:v>
                </c:pt>
                <c:pt idx="1">
                  <c:v>1.3604125E-4</c:v>
                </c:pt>
                <c:pt idx="2">
                  <c:v>1.8595250000000001E-4</c:v>
                </c:pt>
                <c:pt idx="3">
                  <c:v>2.1932625E-4</c:v>
                </c:pt>
                <c:pt idx="4">
                  <c:v>2.7137549999999998E-4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A-4E3D-8DCB-98B443AE190F}"/>
            </c:ext>
          </c:extLst>
        </c:ser>
        <c:ser>
          <c:idx val="3"/>
          <c:order val="3"/>
          <c:tx>
            <c:strRef>
              <c:f>scenario5!$A$12</c:f>
              <c:strCache>
                <c:ptCount val="1"/>
                <c:pt idx="0">
                  <c:v>Decoding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scenario5!$L$12:$P$12</c:f>
              <c:numCache>
                <c:formatCode>General</c:formatCode>
                <c:ptCount val="5"/>
                <c:pt idx="0">
                  <c:v>1.4700499999999999E-5</c:v>
                </c:pt>
                <c:pt idx="1">
                  <c:v>1.52835E-5</c:v>
                </c:pt>
                <c:pt idx="2">
                  <c:v>1.4087749999999999E-5</c:v>
                </c:pt>
                <c:pt idx="3">
                  <c:v>1.4378E-5</c:v>
                </c:pt>
                <c:pt idx="4">
                  <c:v>1.4457749999999999E-5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4A-4E3D-8DCB-98B443AE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4020255"/>
        <c:axId val="824014495"/>
      </c:barChart>
      <c:catAx>
        <c:axId val="82402025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24014495"/>
        <c:crosses val="autoZero"/>
        <c:auto val="1"/>
        <c:lblAlgn val="ctr"/>
        <c:lblOffset val="100"/>
        <c:noMultiLvlLbl val="0"/>
      </c:catAx>
      <c:valAx>
        <c:axId val="8240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DKK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240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inference FU. Variable tokens. AWS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scenario5!$A$9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scenario5!$Q$8:$U$8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scenario5!$Q$9:$U$9</c:f>
              <c:numCache>
                <c:formatCode>General</c:formatCode>
                <c:ptCount val="5"/>
                <c:pt idx="0">
                  <c:v>6.2691915000000003E-4</c:v>
                </c:pt>
                <c:pt idx="1">
                  <c:v>6.2252987499999989E-4</c:v>
                </c:pt>
                <c:pt idx="2">
                  <c:v>6.4904399999999999E-4</c:v>
                </c:pt>
                <c:pt idx="3">
                  <c:v>6.2960635833333339E-4</c:v>
                </c:pt>
                <c:pt idx="4">
                  <c:v>6.2429344999999999E-4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8-4A82-82D3-729D1BB9DA1E}"/>
            </c:ext>
          </c:extLst>
        </c:ser>
        <c:ser>
          <c:idx val="1"/>
          <c:order val="1"/>
          <c:tx>
            <c:strRef>
              <c:f>scenario5!$A$10</c:f>
              <c:strCache>
                <c:ptCount val="1"/>
                <c:pt idx="0">
                  <c:v>Encoding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scenario5!$Q$8:$U$8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scenario5!$Q$10:$U$10</c:f>
              <c:numCache>
                <c:formatCode>General</c:formatCode>
                <c:ptCount val="5"/>
                <c:pt idx="0">
                  <c:v>5.1621826666666665E-4</c:v>
                </c:pt>
                <c:pt idx="1">
                  <c:v>5.1641287499999992E-4</c:v>
                </c:pt>
                <c:pt idx="2">
                  <c:v>5.1321746666666663E-4</c:v>
                </c:pt>
                <c:pt idx="3">
                  <c:v>5.1614970000000006E-4</c:v>
                </c:pt>
                <c:pt idx="4">
                  <c:v>5.1561125E-4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68-4A82-82D3-729D1BB9DA1E}"/>
            </c:ext>
          </c:extLst>
        </c:ser>
        <c:ser>
          <c:idx val="2"/>
          <c:order val="2"/>
          <c:tx>
            <c:strRef>
              <c:f>scenario5!$A$11</c:f>
              <c:strCache>
                <c:ptCount val="1"/>
                <c:pt idx="0">
                  <c:v>Generation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scenario5!$Q$8:$U$8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scenario5!$Q$11:$U$11</c:f>
              <c:numCache>
                <c:formatCode>General</c:formatCode>
                <c:ptCount val="5"/>
                <c:pt idx="0">
                  <c:v>3.1004162750000001E-3</c:v>
                </c:pt>
                <c:pt idx="1">
                  <c:v>4.060966708333333E-3</c:v>
                </c:pt>
                <c:pt idx="2">
                  <c:v>5.4839377999999989E-3</c:v>
                </c:pt>
                <c:pt idx="3">
                  <c:v>6.3860321250000006E-3</c:v>
                </c:pt>
                <c:pt idx="4">
                  <c:v>7.8312722583333324E-3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68-4A82-82D3-729D1BB9DA1E}"/>
            </c:ext>
          </c:extLst>
        </c:ser>
        <c:ser>
          <c:idx val="3"/>
          <c:order val="3"/>
          <c:tx>
            <c:strRef>
              <c:f>scenario5!$A$12</c:f>
              <c:strCache>
                <c:ptCount val="1"/>
                <c:pt idx="0">
                  <c:v>Decoding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scenario5!$Q$8:$U$8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scenario5!$Q$12:$U$12</c:f>
              <c:numCache>
                <c:formatCode>General</c:formatCode>
                <c:ptCount val="5"/>
                <c:pt idx="0">
                  <c:v>5.0927387499999995E-4</c:v>
                </c:pt>
                <c:pt idx="1">
                  <c:v>5.1011280833333339E-4</c:v>
                </c:pt>
                <c:pt idx="2">
                  <c:v>5.0810219166666666E-4</c:v>
                </c:pt>
                <c:pt idx="3">
                  <c:v>5.0944327500000003E-4</c:v>
                </c:pt>
                <c:pt idx="4">
                  <c:v>5.0774826666666664E-4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68-4A82-82D3-729D1BB9D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8075823"/>
        <c:axId val="748083503"/>
      </c:barChart>
      <c:catAx>
        <c:axId val="748075823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8083503"/>
        <c:crosses val="autoZero"/>
        <c:auto val="1"/>
        <c:lblAlgn val="ctr"/>
        <c:lblOffset val="100"/>
        <c:noMultiLvlLbl val="0"/>
      </c:catAx>
      <c:valAx>
        <c:axId val="7480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DKK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4807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scenario2!$A$10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scenario2!$H$9:$M$9</c:f>
              <c:strCache>
                <c:ptCount val="6"/>
                <c:pt idx="0">
                  <c:v>4 layers, electricity </c:v>
                </c:pt>
                <c:pt idx="1">
                  <c:v>4 layers, AWS</c:v>
                </c:pt>
                <c:pt idx="2">
                  <c:v>6 layers, electricity</c:v>
                </c:pt>
                <c:pt idx="3">
                  <c:v>6 layers, AWS</c:v>
                </c:pt>
                <c:pt idx="4">
                  <c:v>12 layers, electricity</c:v>
                </c:pt>
                <c:pt idx="5">
                  <c:v>12 layers, AWS</c:v>
                </c:pt>
              </c:strCache>
            </c:strRef>
          </c:cat>
          <c:val>
            <c:numRef>
              <c:f>scenario2!$H$10:$M$10</c:f>
              <c:numCache>
                <c:formatCode>General</c:formatCode>
                <c:ptCount val="6"/>
                <c:pt idx="0">
                  <c:v>1.57842E-4</c:v>
                </c:pt>
                <c:pt idx="1">
                  <c:v>2.0081391916666668E-3</c:v>
                </c:pt>
                <c:pt idx="2">
                  <c:v>1.8637000000000001E-5</c:v>
                </c:pt>
                <c:pt idx="3">
                  <c:v>5.6967909166666668E-4</c:v>
                </c:pt>
                <c:pt idx="4">
                  <c:v>1.8915499999999999E-5</c:v>
                </c:pt>
                <c:pt idx="5">
                  <c:v>5.8628029166666663E-4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7-4826-ABC0-8E849B109509}"/>
            </c:ext>
          </c:extLst>
        </c:ser>
        <c:ser>
          <c:idx val="1"/>
          <c:order val="1"/>
          <c:tx>
            <c:strRef>
              <c:f>scenario2!$A$11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scenario2!$H$9:$M$9</c:f>
              <c:strCache>
                <c:ptCount val="6"/>
                <c:pt idx="0">
                  <c:v>4 layers, electricity </c:v>
                </c:pt>
                <c:pt idx="1">
                  <c:v>4 layers, AWS</c:v>
                </c:pt>
                <c:pt idx="2">
                  <c:v>6 layers, electricity</c:v>
                </c:pt>
                <c:pt idx="3">
                  <c:v>6 layers, AWS</c:v>
                </c:pt>
                <c:pt idx="4">
                  <c:v>12 layers, electricity</c:v>
                </c:pt>
                <c:pt idx="5">
                  <c:v>12 layers, AWS</c:v>
                </c:pt>
              </c:strCache>
            </c:strRef>
          </c:cat>
          <c:val>
            <c:numRef>
              <c:f>scenario2!$H$11:$M$11</c:f>
              <c:numCache>
                <c:formatCode>General</c:formatCode>
                <c:ptCount val="6"/>
                <c:pt idx="0">
                  <c:v>3.2265235E-3</c:v>
                </c:pt>
                <c:pt idx="1">
                  <c:v>1.1859569975E-2</c:v>
                </c:pt>
                <c:pt idx="2">
                  <c:v>6.6650685000000003E-3</c:v>
                </c:pt>
                <c:pt idx="3">
                  <c:v>2.5302409824999997E-2</c:v>
                </c:pt>
                <c:pt idx="4">
                  <c:v>1.0399248500000001E-2</c:v>
                </c:pt>
                <c:pt idx="5">
                  <c:v>4.0621060241666659E-2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07-4826-ABC0-8E849B109509}"/>
            </c:ext>
          </c:extLst>
        </c:ser>
        <c:ser>
          <c:idx val="2"/>
          <c:order val="2"/>
          <c:tx>
            <c:strRef>
              <c:f>scenario2!$A$12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scenario2!$H$9:$M$9</c:f>
              <c:strCache>
                <c:ptCount val="6"/>
                <c:pt idx="0">
                  <c:v>4 layers, electricity </c:v>
                </c:pt>
                <c:pt idx="1">
                  <c:v>4 layers, AWS</c:v>
                </c:pt>
                <c:pt idx="2">
                  <c:v>6 layers, electricity</c:v>
                </c:pt>
                <c:pt idx="3">
                  <c:v>6 layers, AWS</c:v>
                </c:pt>
                <c:pt idx="4">
                  <c:v>12 layers, electricity</c:v>
                </c:pt>
                <c:pt idx="5">
                  <c:v>12 layers, AWS</c:v>
                </c:pt>
              </c:strCache>
            </c:strRef>
          </c:cat>
          <c:val>
            <c:numRef>
              <c:f>scenario2!$H$12:$M$12</c:f>
              <c:numCache>
                <c:formatCode>General</c:formatCode>
                <c:ptCount val="6"/>
                <c:pt idx="0">
                  <c:v>5.4101415E-3</c:v>
                </c:pt>
                <c:pt idx="1">
                  <c:v>1.9885784324999999E-2</c:v>
                </c:pt>
                <c:pt idx="2">
                  <c:v>1.0523277750000001E-2</c:v>
                </c:pt>
                <c:pt idx="3">
                  <c:v>3.9949218833333335E-2</c:v>
                </c:pt>
                <c:pt idx="4">
                  <c:v>1.5839309999999999E-2</c:v>
                </c:pt>
                <c:pt idx="5">
                  <c:v>6.1870776733333334E-2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07-4826-ABC0-8E849B109509}"/>
            </c:ext>
          </c:extLst>
        </c:ser>
        <c:ser>
          <c:idx val="3"/>
          <c:order val="3"/>
          <c:tx>
            <c:strRef>
              <c:f>scenario2!$A$13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scenario2!$H$9:$M$9</c:f>
              <c:strCache>
                <c:ptCount val="6"/>
                <c:pt idx="0">
                  <c:v>4 layers, electricity </c:v>
                </c:pt>
                <c:pt idx="1">
                  <c:v>4 layers, AWS</c:v>
                </c:pt>
                <c:pt idx="2">
                  <c:v>6 layers, electricity</c:v>
                </c:pt>
                <c:pt idx="3">
                  <c:v>6 layers, AWS</c:v>
                </c:pt>
                <c:pt idx="4">
                  <c:v>12 layers, electricity</c:v>
                </c:pt>
                <c:pt idx="5">
                  <c:v>12 layers, AWS</c:v>
                </c:pt>
              </c:strCache>
            </c:strRef>
          </c:cat>
          <c:val>
            <c:numRef>
              <c:f>scenario2!$H$13:$M$13</c:f>
              <c:numCache>
                <c:formatCode>General</c:formatCode>
                <c:ptCount val="6"/>
                <c:pt idx="0">
                  <c:v>2.0353330000000003E-3</c:v>
                </c:pt>
                <c:pt idx="1">
                  <c:v>1.2620853575E-2</c:v>
                </c:pt>
                <c:pt idx="2">
                  <c:v>3.5407345E-3</c:v>
                </c:pt>
                <c:pt idx="3">
                  <c:v>1.7631087466666664E-2</c:v>
                </c:pt>
                <c:pt idx="4">
                  <c:v>5.0287117499999996E-3</c:v>
                </c:pt>
                <c:pt idx="5">
                  <c:v>2.3134852125000001E-2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07-4826-ABC0-8E849B109509}"/>
            </c:ext>
          </c:extLst>
        </c:ser>
        <c:ser>
          <c:idx val="4"/>
          <c:order val="4"/>
          <c:tx>
            <c:strRef>
              <c:f>scenario2!$A$14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scenario2!$H$9:$M$9</c:f>
              <c:strCache>
                <c:ptCount val="6"/>
                <c:pt idx="0">
                  <c:v>4 layers, electricity </c:v>
                </c:pt>
                <c:pt idx="1">
                  <c:v>4 layers, AWS</c:v>
                </c:pt>
                <c:pt idx="2">
                  <c:v>6 layers, electricity</c:v>
                </c:pt>
                <c:pt idx="3">
                  <c:v>6 layers, AWS</c:v>
                </c:pt>
                <c:pt idx="4">
                  <c:v>12 layers, electricity</c:v>
                </c:pt>
                <c:pt idx="5">
                  <c:v>12 layers, AWS</c:v>
                </c:pt>
              </c:strCache>
            </c:strRef>
          </c:cat>
          <c:val>
            <c:numRef>
              <c:f>scenario2!$H$14:$M$14</c:f>
              <c:numCache>
                <c:formatCode>General</c:formatCode>
                <c:ptCount val="6"/>
                <c:pt idx="0">
                  <c:v>8.636665E-3</c:v>
                </c:pt>
                <c:pt idx="1">
                  <c:v>4.2639815166666664E-2</c:v>
                </c:pt>
                <c:pt idx="2">
                  <c:v>1.718834625E-2</c:v>
                </c:pt>
                <c:pt idx="3">
                  <c:v>7.71558678E-2</c:v>
                </c:pt>
                <c:pt idx="4">
                  <c:v>2.6238558500000002E-2</c:v>
                </c:pt>
                <c:pt idx="5">
                  <c:v>0.11510349152499999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07-4826-ABC0-8E849B109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282511"/>
        <c:axId val="808272911"/>
      </c:barChart>
      <c:catAx>
        <c:axId val="80828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08272911"/>
        <c:crosses val="autoZero"/>
        <c:auto val="1"/>
        <c:lblAlgn val="ctr"/>
        <c:lblOffset val="100"/>
        <c:noMultiLvlLbl val="0"/>
      </c:catAx>
      <c:valAx>
        <c:axId val="80827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0828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training FU. Variable number of layers. Danish electricity </a:t>
            </a:r>
          </a:p>
        </c:rich>
      </c:tx>
      <c:layout>
        <c:manualLayout>
          <c:xMode val="edge"/>
          <c:yMode val="edge"/>
          <c:x val="0.14184120734908137"/>
          <c:y val="3.3625791656188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scenario2!$A$10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(scenario2!$H$10,scenario2!$J$10,scenario2!$L$10)</c:f>
              <c:numCache>
                <c:formatCode>General</c:formatCode>
                <c:ptCount val="3"/>
                <c:pt idx="0">
                  <c:v>1.57842E-4</c:v>
                </c:pt>
                <c:pt idx="1">
                  <c:v>1.8637000000000001E-5</c:v>
                </c:pt>
                <c:pt idx="2">
                  <c:v>1.8915499999999999E-5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8-4615-AC86-E5D354571FBC}"/>
            </c:ext>
          </c:extLst>
        </c:ser>
        <c:ser>
          <c:idx val="1"/>
          <c:order val="1"/>
          <c:tx>
            <c:strRef>
              <c:f>scenario2!$A$11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(scenario2!$H$11,scenario2!$J$11,scenario2!$L$11)</c:f>
              <c:numCache>
                <c:formatCode>General</c:formatCode>
                <c:ptCount val="3"/>
                <c:pt idx="0">
                  <c:v>3.2265235E-3</c:v>
                </c:pt>
                <c:pt idx="1">
                  <c:v>6.6650685000000003E-3</c:v>
                </c:pt>
                <c:pt idx="2">
                  <c:v>1.0399248500000001E-2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18-4615-AC86-E5D354571FBC}"/>
            </c:ext>
          </c:extLst>
        </c:ser>
        <c:ser>
          <c:idx val="2"/>
          <c:order val="2"/>
          <c:tx>
            <c:strRef>
              <c:f>scenario2!$A$12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(scenario2!$H$12,scenario2!$J$12,scenario2!$L$12)</c:f>
              <c:numCache>
                <c:formatCode>General</c:formatCode>
                <c:ptCount val="3"/>
                <c:pt idx="0">
                  <c:v>5.4101415E-3</c:v>
                </c:pt>
                <c:pt idx="1">
                  <c:v>1.0523277750000001E-2</c:v>
                </c:pt>
                <c:pt idx="2">
                  <c:v>1.5839309999999999E-2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18-4615-AC86-E5D354571FBC}"/>
            </c:ext>
          </c:extLst>
        </c:ser>
        <c:ser>
          <c:idx val="3"/>
          <c:order val="3"/>
          <c:tx>
            <c:strRef>
              <c:f>scenario2!$A$13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(scenario2!$H$13,scenario2!$J$13,scenario2!$L$13)</c:f>
              <c:numCache>
                <c:formatCode>General</c:formatCode>
                <c:ptCount val="3"/>
                <c:pt idx="0">
                  <c:v>2.0353330000000003E-3</c:v>
                </c:pt>
                <c:pt idx="1">
                  <c:v>3.5407345E-3</c:v>
                </c:pt>
                <c:pt idx="2">
                  <c:v>5.0287117499999996E-3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18-4615-AC86-E5D354571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5457551"/>
        <c:axId val="675461871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scenario2!$A$14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(scenario2!$H$9,scenario2!$J$9,scenario2!$L$9)</c15:sqref>
                        </c15:formulaRef>
                      </c:ext>
                    </c:extLst>
                    <c:strCache>
                      <c:ptCount val="3"/>
                      <c:pt idx="0">
                        <c:v>4 layers, electricity </c:v>
                      </c:pt>
                      <c:pt idx="1">
                        <c:v>6 layers, electricity</c:v>
                      </c:pt>
                      <c:pt idx="2">
                        <c:v>12 layers, electricity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(scenario2!$H$14,scenario2!$J$14,scenario2!$L$14)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8.636665E-3</c:v>
                      </c:pt>
                      <c:pt idx="1">
                        <c:v>1.718834625E-2</c:v>
                      </c:pt>
                      <c:pt idx="2">
                        <c:v>2.6238558500000002E-2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318-4615-AC86-E5D354571FBC}"/>
                  </c:ext>
                </c:extLst>
              </c15:ser>
            </c15:filteredBarSeries>
          </c:ext>
        </c:extLst>
      </c:barChart>
      <c:catAx>
        <c:axId val="67545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75461871"/>
        <c:crosses val="autoZero"/>
        <c:auto val="1"/>
        <c:lblAlgn val="ctr"/>
        <c:lblOffset val="100"/>
        <c:noMultiLvlLbl val="0"/>
      </c:catAx>
      <c:valAx>
        <c:axId val="6754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DKK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7545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training FU. Variable number of layers. AWS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scenario2!$A$10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(scenario2!$I$9,scenario2!$K$9,scenario2!$M$9)</c:f>
              <c:strCache>
                <c:ptCount val="3"/>
                <c:pt idx="0">
                  <c:v>4 layers, AWS</c:v>
                </c:pt>
                <c:pt idx="1">
                  <c:v>6 layers, AWS</c:v>
                </c:pt>
                <c:pt idx="2">
                  <c:v>12 layers, AWS</c:v>
                </c:pt>
              </c:strCache>
            </c:strRef>
          </c:cat>
          <c:val>
            <c:numRef>
              <c:f>(scenario2!$I$10,scenario2!$K$10,scenario2!$M$10)</c:f>
              <c:numCache>
                <c:formatCode>General</c:formatCode>
                <c:ptCount val="3"/>
                <c:pt idx="0">
                  <c:v>2.0081391916666668E-3</c:v>
                </c:pt>
                <c:pt idx="1">
                  <c:v>5.6967909166666668E-4</c:v>
                </c:pt>
                <c:pt idx="2">
                  <c:v>5.8628029166666663E-4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4-4212-86BB-A78D4151502B}"/>
            </c:ext>
          </c:extLst>
        </c:ser>
        <c:ser>
          <c:idx val="1"/>
          <c:order val="1"/>
          <c:tx>
            <c:strRef>
              <c:f>scenario2!$A$11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(scenario2!$I$9,scenario2!$K$9,scenario2!$M$9)</c:f>
              <c:strCache>
                <c:ptCount val="3"/>
                <c:pt idx="0">
                  <c:v>4 layers, AWS</c:v>
                </c:pt>
                <c:pt idx="1">
                  <c:v>6 layers, AWS</c:v>
                </c:pt>
                <c:pt idx="2">
                  <c:v>12 layers, AWS</c:v>
                </c:pt>
              </c:strCache>
            </c:strRef>
          </c:cat>
          <c:val>
            <c:numRef>
              <c:f>(scenario2!$I$11,scenario2!$K$11,scenario2!$M$11)</c:f>
              <c:numCache>
                <c:formatCode>General</c:formatCode>
                <c:ptCount val="3"/>
                <c:pt idx="0">
                  <c:v>1.1859569975E-2</c:v>
                </c:pt>
                <c:pt idx="1">
                  <c:v>2.5302409824999997E-2</c:v>
                </c:pt>
                <c:pt idx="2">
                  <c:v>4.0621060241666659E-2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14-4212-86BB-A78D4151502B}"/>
            </c:ext>
          </c:extLst>
        </c:ser>
        <c:ser>
          <c:idx val="2"/>
          <c:order val="2"/>
          <c:tx>
            <c:strRef>
              <c:f>scenario2!$A$12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(scenario2!$I$9,scenario2!$K$9,scenario2!$M$9)</c:f>
              <c:strCache>
                <c:ptCount val="3"/>
                <c:pt idx="0">
                  <c:v>4 layers, AWS</c:v>
                </c:pt>
                <c:pt idx="1">
                  <c:v>6 layers, AWS</c:v>
                </c:pt>
                <c:pt idx="2">
                  <c:v>12 layers, AWS</c:v>
                </c:pt>
              </c:strCache>
            </c:strRef>
          </c:cat>
          <c:val>
            <c:numRef>
              <c:f>(scenario2!$I$12,scenario2!$K$12,scenario2!$M$12)</c:f>
              <c:numCache>
                <c:formatCode>General</c:formatCode>
                <c:ptCount val="3"/>
                <c:pt idx="0">
                  <c:v>1.9885784324999999E-2</c:v>
                </c:pt>
                <c:pt idx="1">
                  <c:v>3.9949218833333335E-2</c:v>
                </c:pt>
                <c:pt idx="2">
                  <c:v>6.1870776733333334E-2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14-4212-86BB-A78D4151502B}"/>
            </c:ext>
          </c:extLst>
        </c:ser>
        <c:ser>
          <c:idx val="3"/>
          <c:order val="3"/>
          <c:tx>
            <c:strRef>
              <c:f>scenario2!$A$13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(scenario2!$I$9,scenario2!$K$9,scenario2!$M$9)</c:f>
              <c:strCache>
                <c:ptCount val="3"/>
                <c:pt idx="0">
                  <c:v>4 layers, AWS</c:v>
                </c:pt>
                <c:pt idx="1">
                  <c:v>6 layers, AWS</c:v>
                </c:pt>
                <c:pt idx="2">
                  <c:v>12 layers, AWS</c:v>
                </c:pt>
              </c:strCache>
            </c:strRef>
          </c:cat>
          <c:val>
            <c:numRef>
              <c:f>(scenario2!$I$13,scenario2!$K$13,scenario2!$M$13)</c:f>
              <c:numCache>
                <c:formatCode>General</c:formatCode>
                <c:ptCount val="3"/>
                <c:pt idx="0">
                  <c:v>1.2620853575E-2</c:v>
                </c:pt>
                <c:pt idx="1">
                  <c:v>1.7631087466666664E-2</c:v>
                </c:pt>
                <c:pt idx="2">
                  <c:v>2.3134852125000001E-2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14-4212-86BB-A78D41515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8282031"/>
        <c:axId val="810626175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scenario2!$A$14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(scenario2!$I$9,scenario2!$K$9,scenario2!$M$9)</c15:sqref>
                        </c15:formulaRef>
                      </c:ext>
                    </c:extLst>
                    <c:strCache>
                      <c:ptCount val="3"/>
                      <c:pt idx="0">
                        <c:v>4 layers, AWS</c:v>
                      </c:pt>
                      <c:pt idx="1">
                        <c:v>6 layers, AWS</c:v>
                      </c:pt>
                      <c:pt idx="2">
                        <c:v>12 layers, AWS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(scenario2!$I$14,scenario2!$K$14,scenario2!$M$14)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4.2639815166666664E-2</c:v>
                      </c:pt>
                      <c:pt idx="1">
                        <c:v>7.71558678E-2</c:v>
                      </c:pt>
                      <c:pt idx="2">
                        <c:v>0.11510349152499999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B414-4212-86BB-A78D4151502B}"/>
                  </c:ext>
                </c:extLst>
              </c15:ser>
            </c15:filteredBarSeries>
          </c:ext>
        </c:extLst>
      </c:barChart>
      <c:catAx>
        <c:axId val="80828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10626175"/>
        <c:crosses val="autoZero"/>
        <c:auto val="1"/>
        <c:lblAlgn val="ctr"/>
        <c:lblOffset val="100"/>
        <c:noMultiLvlLbl val="0"/>
      </c:catAx>
      <c:valAx>
        <c:axId val="81062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DKK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0828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training FU. Variable batch size. Danish electricity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scenario3!$A$10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scenario3!$H$9:$J$9</c:f>
              <c:strCache>
                <c:ptCount val="3"/>
                <c:pt idx="0">
                  <c:v>batch 32, electricity</c:v>
                </c:pt>
                <c:pt idx="1">
                  <c:v>batch 64, electricity</c:v>
                </c:pt>
                <c:pt idx="2">
                  <c:v>batch 96, electricity</c:v>
                </c:pt>
              </c:strCache>
            </c:strRef>
          </c:cat>
          <c:val>
            <c:numRef>
              <c:f>scenario3!$H$10:$J$10</c:f>
              <c:numCache>
                <c:formatCode>General</c:formatCode>
                <c:ptCount val="3"/>
                <c:pt idx="0">
                  <c:v>1.762135E-4</c:v>
                </c:pt>
                <c:pt idx="1">
                  <c:v>1.8447499999999999E-5</c:v>
                </c:pt>
                <c:pt idx="2">
                  <c:v>1.91635E-5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A-48E5-A3EE-4C4D3CF50C15}"/>
            </c:ext>
          </c:extLst>
        </c:ser>
        <c:ser>
          <c:idx val="1"/>
          <c:order val="1"/>
          <c:tx>
            <c:strRef>
              <c:f>scenario3!$A$11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scenario3!$H$9:$J$9</c:f>
              <c:strCache>
                <c:ptCount val="3"/>
                <c:pt idx="0">
                  <c:v>batch 32, electricity</c:v>
                </c:pt>
                <c:pt idx="1">
                  <c:v>batch 64, electricity</c:v>
                </c:pt>
                <c:pt idx="2">
                  <c:v>batch 96, electricity</c:v>
                </c:pt>
              </c:strCache>
            </c:strRef>
          </c:cat>
          <c:val>
            <c:numRef>
              <c:f>scenario3!$H$11:$J$11</c:f>
              <c:numCache>
                <c:formatCode>General</c:formatCode>
                <c:ptCount val="3"/>
                <c:pt idx="0">
                  <c:v>3.5881007499999999E-3</c:v>
                </c:pt>
                <c:pt idx="1">
                  <c:v>6.1956087499999996E-3</c:v>
                </c:pt>
                <c:pt idx="2">
                  <c:v>8.8439497499999999E-3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2A-48E5-A3EE-4C4D3CF50C15}"/>
            </c:ext>
          </c:extLst>
        </c:ser>
        <c:ser>
          <c:idx val="2"/>
          <c:order val="2"/>
          <c:tx>
            <c:strRef>
              <c:f>scenario3!$A$12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scenario3!$H$9:$J$9</c:f>
              <c:strCache>
                <c:ptCount val="3"/>
                <c:pt idx="0">
                  <c:v>batch 32, electricity</c:v>
                </c:pt>
                <c:pt idx="1">
                  <c:v>batch 64, electricity</c:v>
                </c:pt>
                <c:pt idx="2">
                  <c:v>batch 96, electricity</c:v>
                </c:pt>
              </c:strCache>
            </c:strRef>
          </c:cat>
          <c:val>
            <c:numRef>
              <c:f>scenario3!$H$12:$J$12</c:f>
              <c:numCache>
                <c:formatCode>General</c:formatCode>
                <c:ptCount val="3"/>
                <c:pt idx="0">
                  <c:v>6.0314215000000001E-3</c:v>
                </c:pt>
                <c:pt idx="1">
                  <c:v>9.8445812500000014E-3</c:v>
                </c:pt>
                <c:pt idx="2">
                  <c:v>1.360940475E-2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2A-48E5-A3EE-4C4D3CF50C15}"/>
            </c:ext>
          </c:extLst>
        </c:ser>
        <c:ser>
          <c:idx val="3"/>
          <c:order val="3"/>
          <c:tx>
            <c:strRef>
              <c:f>scenario3!$A$13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scenario3!$H$9:$J$9</c:f>
              <c:strCache>
                <c:ptCount val="3"/>
                <c:pt idx="0">
                  <c:v>batch 32, electricity</c:v>
                </c:pt>
                <c:pt idx="1">
                  <c:v>batch 64, electricity</c:v>
                </c:pt>
                <c:pt idx="2">
                  <c:v>batch 96, electricity</c:v>
                </c:pt>
              </c:strCache>
            </c:strRef>
          </c:cat>
          <c:val>
            <c:numRef>
              <c:f>scenario3!$H$13:$J$13</c:f>
              <c:numCache>
                <c:formatCode>General</c:formatCode>
                <c:ptCount val="3"/>
                <c:pt idx="0">
                  <c:v>2.3457115000000001E-3</c:v>
                </c:pt>
                <c:pt idx="1">
                  <c:v>3.4453510000000001E-3</c:v>
                </c:pt>
                <c:pt idx="2">
                  <c:v>4.623004E-3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2A-48E5-A3EE-4C4D3CF50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95084511"/>
        <c:axId val="495080191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scenario3!$A$14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scenario3!$H$9:$J$9</c15:sqref>
                        </c15:formulaRef>
                      </c:ext>
                    </c:extLst>
                    <c:strCache>
                      <c:ptCount val="3"/>
                      <c:pt idx="0">
                        <c:v>batch 32, electricity</c:v>
                      </c:pt>
                      <c:pt idx="1">
                        <c:v>batch 64, electricity</c:v>
                      </c:pt>
                      <c:pt idx="2">
                        <c:v>batch 96, electricity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scenario3!$H$14:$J$14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9.6195224999999999E-3</c:v>
                      </c:pt>
                      <c:pt idx="1">
                        <c:v>1.6040189999999999E-2</c:v>
                      </c:pt>
                      <c:pt idx="2">
                        <c:v>2.2453354500000001E-2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E2A-48E5-A3EE-4C4D3CF50C15}"/>
                  </c:ext>
                </c:extLst>
              </c15:ser>
            </c15:filteredBarSeries>
          </c:ext>
        </c:extLst>
      </c:barChart>
      <c:catAx>
        <c:axId val="49508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95080191"/>
        <c:crosses val="autoZero"/>
        <c:auto val="1"/>
        <c:lblAlgn val="ctr"/>
        <c:lblOffset val="100"/>
        <c:noMultiLvlLbl val="0"/>
      </c:catAx>
      <c:valAx>
        <c:axId val="49508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950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training FU. Variable batch size. AWS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scenario3!$A$10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scenario3!$K$9:$M$9</c:f>
              <c:strCache>
                <c:ptCount val="3"/>
                <c:pt idx="0">
                  <c:v>batch 32, AWS</c:v>
                </c:pt>
                <c:pt idx="1">
                  <c:v>batch 64, AWS </c:v>
                </c:pt>
                <c:pt idx="2">
                  <c:v>batch 96, AWS</c:v>
                </c:pt>
              </c:strCache>
            </c:strRef>
          </c:cat>
          <c:val>
            <c:numRef>
              <c:f>scenario3!$K$10:$M$10</c:f>
              <c:numCache>
                <c:formatCode>General</c:formatCode>
                <c:ptCount val="3"/>
                <c:pt idx="0">
                  <c:v>1.9788824000000001E-3</c:v>
                </c:pt>
                <c:pt idx="1">
                  <c:v>5.438677749999999E-4</c:v>
                </c:pt>
                <c:pt idx="2">
                  <c:v>5.4671026666666667E-4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7-4878-8EEC-E72AEDCC84FB}"/>
            </c:ext>
          </c:extLst>
        </c:ser>
        <c:ser>
          <c:idx val="1"/>
          <c:order val="1"/>
          <c:tx>
            <c:strRef>
              <c:f>scenario3!$A$11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scenario3!$K$9:$M$9</c:f>
              <c:strCache>
                <c:ptCount val="3"/>
                <c:pt idx="0">
                  <c:v>batch 32, AWS</c:v>
                </c:pt>
                <c:pt idx="1">
                  <c:v>batch 64, AWS </c:v>
                </c:pt>
                <c:pt idx="2">
                  <c:v>batch 96, AWS</c:v>
                </c:pt>
              </c:strCache>
            </c:strRef>
          </c:cat>
          <c:val>
            <c:numRef>
              <c:f>scenario3!$K$11:$M$11</c:f>
              <c:numCache>
                <c:formatCode>General</c:formatCode>
                <c:ptCount val="3"/>
                <c:pt idx="0">
                  <c:v>1.192099865E-2</c:v>
                </c:pt>
                <c:pt idx="1">
                  <c:v>2.0458522699999999E-2</c:v>
                </c:pt>
                <c:pt idx="2">
                  <c:v>2.9525024466666668E-2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7-4878-8EEC-E72AEDCC84FB}"/>
            </c:ext>
          </c:extLst>
        </c:ser>
        <c:ser>
          <c:idx val="2"/>
          <c:order val="2"/>
          <c:tx>
            <c:strRef>
              <c:f>scenario3!$A$12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scenario3!$K$9:$M$9</c:f>
              <c:strCache>
                <c:ptCount val="3"/>
                <c:pt idx="0">
                  <c:v>batch 32, AWS</c:v>
                </c:pt>
                <c:pt idx="1">
                  <c:v>batch 64, AWS </c:v>
                </c:pt>
                <c:pt idx="2">
                  <c:v>batch 96, AWS</c:v>
                </c:pt>
              </c:strCache>
            </c:strRef>
          </c:cat>
          <c:val>
            <c:numRef>
              <c:f>scenario3!$K$12:$M$12</c:f>
              <c:numCache>
                <c:formatCode>General</c:formatCode>
                <c:ptCount val="3"/>
                <c:pt idx="0">
                  <c:v>2.0038614383333334E-2</c:v>
                </c:pt>
                <c:pt idx="1">
                  <c:v>3.2507796474999996E-2</c:v>
                </c:pt>
                <c:pt idx="2">
                  <c:v>4.5434226474999999E-2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7-4878-8EEC-E72AEDCC84FB}"/>
            </c:ext>
          </c:extLst>
        </c:ser>
        <c:ser>
          <c:idx val="3"/>
          <c:order val="3"/>
          <c:tx>
            <c:strRef>
              <c:f>scenario3!$A$13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scenario3!$K$9:$M$9</c:f>
              <c:strCache>
                <c:ptCount val="3"/>
                <c:pt idx="0">
                  <c:v>batch 32, AWS</c:v>
                </c:pt>
                <c:pt idx="1">
                  <c:v>batch 64, AWS </c:v>
                </c:pt>
                <c:pt idx="2">
                  <c:v>batch 96, AWS</c:v>
                </c:pt>
              </c:strCache>
            </c:strRef>
          </c:cat>
          <c:val>
            <c:numRef>
              <c:f>scenario3!$K$13:$M$13</c:f>
              <c:numCache>
                <c:formatCode>General</c:formatCode>
                <c:ptCount val="3"/>
                <c:pt idx="0">
                  <c:v>1.2936222933333333E-2</c:v>
                </c:pt>
                <c:pt idx="1">
                  <c:v>1.6749862616666666E-2</c:v>
                </c:pt>
                <c:pt idx="2">
                  <c:v>2.1188578216666667E-2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B7-4878-8EEC-E72AEDCC8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8816095"/>
        <c:axId val="838817055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scenario3!$A$14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scenario3!$K$9:$M$9</c15:sqref>
                        </c15:formulaRef>
                      </c:ext>
                    </c:extLst>
                    <c:strCache>
                      <c:ptCount val="3"/>
                      <c:pt idx="0">
                        <c:v>batch 32, AWS</c:v>
                      </c:pt>
                      <c:pt idx="1">
                        <c:v>batch 64, AWS </c:v>
                      </c:pt>
                      <c:pt idx="2">
                        <c:v>batch 96, AWS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scenario3!$K$14:$M$14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4.3020755433333328E-2</c:v>
                      </c:pt>
                      <c:pt idx="1">
                        <c:v>6.7416154300000003E-2</c:v>
                      </c:pt>
                      <c:pt idx="2">
                        <c:v>9.4270975975000004E-2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6B7-4878-8EEC-E72AEDCC84FB}"/>
                  </c:ext>
                </c:extLst>
              </c15:ser>
            </c15:filteredBarSeries>
          </c:ext>
        </c:extLst>
      </c:barChart>
      <c:catAx>
        <c:axId val="83881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8817055"/>
        <c:crosses val="autoZero"/>
        <c:auto val="1"/>
        <c:lblAlgn val="ctr"/>
        <c:lblOffset val="100"/>
        <c:noMultiLvlLbl val="0"/>
      </c:catAx>
      <c:valAx>
        <c:axId val="83881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3881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Price per inference FU.</a:t>
            </a:r>
            <a:r>
              <a:rPr lang="en-US" baseline="0"/>
              <a:t> Variable temperature. Danish electricity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scenario4!$A$9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scenario4!$L$8:$P$8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scenario4!$L$9:$P$9</c:f>
              <c:numCache>
                <c:formatCode>General</c:formatCode>
                <c:ptCount val="5"/>
                <c:pt idx="0">
                  <c:v>2.0994499999999997E-5</c:v>
                </c:pt>
                <c:pt idx="1">
                  <c:v>2.2405E-5</c:v>
                </c:pt>
                <c:pt idx="2">
                  <c:v>1.5950000000000001E-5</c:v>
                </c:pt>
                <c:pt idx="3">
                  <c:v>1.7265499999999999E-5</c:v>
                </c:pt>
                <c:pt idx="4">
                  <c:v>1.7995E-5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9-43AB-9661-656EAF96CA6E}"/>
            </c:ext>
          </c:extLst>
        </c:ser>
        <c:ser>
          <c:idx val="1"/>
          <c:order val="1"/>
          <c:tx>
            <c:strRef>
              <c:f>scenario4!$A$10</c:f>
              <c:strCache>
                <c:ptCount val="1"/>
                <c:pt idx="0">
                  <c:v>Encoding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scenario4!$L$8:$P$8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scenario4!$L$10:$P$10</c:f>
              <c:numCache>
                <c:formatCode>General</c:formatCode>
                <c:ptCount val="5"/>
                <c:pt idx="0">
                  <c:v>1.3972750000000001E-5</c:v>
                </c:pt>
                <c:pt idx="1">
                  <c:v>1.539E-5</c:v>
                </c:pt>
                <c:pt idx="2">
                  <c:v>1.382475E-5</c:v>
                </c:pt>
                <c:pt idx="3">
                  <c:v>1.4290499999999998E-5</c:v>
                </c:pt>
                <c:pt idx="4">
                  <c:v>1.482E-5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9-43AB-9661-656EAF96CA6E}"/>
            </c:ext>
          </c:extLst>
        </c:ser>
        <c:ser>
          <c:idx val="2"/>
          <c:order val="2"/>
          <c:tx>
            <c:strRef>
              <c:f>scenario4!$A$11</c:f>
              <c:strCache>
                <c:ptCount val="1"/>
                <c:pt idx="0">
                  <c:v>Generation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scenario4!$L$8:$P$8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scenario4!$L$11:$P$11</c:f>
              <c:numCache>
                <c:formatCode>General</c:formatCode>
                <c:ptCount val="5"/>
                <c:pt idx="0">
                  <c:v>1.3567975E-4</c:v>
                </c:pt>
                <c:pt idx="1">
                  <c:v>9.5429999999999999E-5</c:v>
                </c:pt>
                <c:pt idx="2">
                  <c:v>1.00027E-4</c:v>
                </c:pt>
                <c:pt idx="3">
                  <c:v>9.1850999999999999E-5</c:v>
                </c:pt>
                <c:pt idx="4">
                  <c:v>9.9431249999999994E-5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9-43AB-9661-656EAF96CA6E}"/>
            </c:ext>
          </c:extLst>
        </c:ser>
        <c:ser>
          <c:idx val="3"/>
          <c:order val="3"/>
          <c:tx>
            <c:strRef>
              <c:f>scenario4!$A$12</c:f>
              <c:strCache>
                <c:ptCount val="1"/>
                <c:pt idx="0">
                  <c:v>Decoding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scenario4!$L$8:$P$8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scenario4!$L$12:$P$12</c:f>
              <c:numCache>
                <c:formatCode>General</c:formatCode>
                <c:ptCount val="5"/>
                <c:pt idx="0">
                  <c:v>1.5585000000000001E-5</c:v>
                </c:pt>
                <c:pt idx="1">
                  <c:v>1.4766250000000001E-5</c:v>
                </c:pt>
                <c:pt idx="2">
                  <c:v>1.494025E-5</c:v>
                </c:pt>
                <c:pt idx="3">
                  <c:v>1.42405E-5</c:v>
                </c:pt>
                <c:pt idx="4">
                  <c:v>1.4882499999999999E-5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39-43AB-9661-656EAF96C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12679519"/>
        <c:axId val="812683359"/>
      </c:barChart>
      <c:catAx>
        <c:axId val="81267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12683359"/>
        <c:crosses val="autoZero"/>
        <c:auto val="1"/>
        <c:lblAlgn val="ctr"/>
        <c:lblOffset val="100"/>
        <c:noMultiLvlLbl val="0"/>
      </c:catAx>
      <c:valAx>
        <c:axId val="81268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12679519"/>
        <c:crosses val="autoZero"/>
        <c:crossBetween val="between"/>
        <c:minorUnit val="8.000000000000003E-6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Price per inference FU. Variable temperature. AWS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scenario4!$A$9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scenario4!$Q$8:$U$8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scenario4!$Q$9:$U$9</c:f>
              <c:numCache>
                <c:formatCode>General</c:formatCode>
                <c:ptCount val="5"/>
                <c:pt idx="0">
                  <c:v>6.7550065E-4</c:v>
                </c:pt>
                <c:pt idx="1">
                  <c:v>6.811553833333333E-4</c:v>
                </c:pt>
                <c:pt idx="2">
                  <c:v>6.019397083333333E-4</c:v>
                </c:pt>
                <c:pt idx="3">
                  <c:v>6.2188655833333344E-4</c:v>
                </c:pt>
                <c:pt idx="4">
                  <c:v>6.7998470833333341E-4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A-4EB4-A4C3-177E63D53EB0}"/>
            </c:ext>
          </c:extLst>
        </c:ser>
        <c:ser>
          <c:idx val="1"/>
          <c:order val="1"/>
          <c:tx>
            <c:strRef>
              <c:f>scenario4!$A$10</c:f>
              <c:strCache>
                <c:ptCount val="1"/>
                <c:pt idx="0">
                  <c:v>Encoding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scenario4!$Q$8:$U$8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scenario4!$Q$10:$U$10</c:f>
              <c:numCache>
                <c:formatCode>General</c:formatCode>
                <c:ptCount val="5"/>
                <c:pt idx="0">
                  <c:v>5.1355324166666664E-4</c:v>
                </c:pt>
                <c:pt idx="1">
                  <c:v>5.1556486666666664E-4</c:v>
                </c:pt>
                <c:pt idx="2">
                  <c:v>5.1387086666666664E-4</c:v>
                </c:pt>
                <c:pt idx="3">
                  <c:v>5.1744238333333329E-4</c:v>
                </c:pt>
                <c:pt idx="4">
                  <c:v>5.1433167500000005E-4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5A-4EB4-A4C3-177E63D53EB0}"/>
            </c:ext>
          </c:extLst>
        </c:ser>
        <c:ser>
          <c:idx val="2"/>
          <c:order val="2"/>
          <c:tx>
            <c:strRef>
              <c:f>scenario4!$A$11</c:f>
              <c:strCache>
                <c:ptCount val="1"/>
                <c:pt idx="0">
                  <c:v>Generation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scenario4!$Q$8:$U$8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scenario4!$Q$11:$U$11</c:f>
              <c:numCache>
                <c:formatCode>General</c:formatCode>
                <c:ptCount val="5"/>
                <c:pt idx="0">
                  <c:v>3.5510243083333335E-3</c:v>
                </c:pt>
                <c:pt idx="1">
                  <c:v>2.8855243083333328E-3</c:v>
                </c:pt>
                <c:pt idx="2">
                  <c:v>3.0468273916666668E-3</c:v>
                </c:pt>
                <c:pt idx="3">
                  <c:v>2.8331968499999997E-3</c:v>
                </c:pt>
                <c:pt idx="4">
                  <c:v>3.0083201500000004E-3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5A-4EB4-A4C3-177E63D53EB0}"/>
            </c:ext>
          </c:extLst>
        </c:ser>
        <c:ser>
          <c:idx val="3"/>
          <c:order val="3"/>
          <c:tx>
            <c:strRef>
              <c:f>scenario4!$A$12</c:f>
              <c:strCache>
                <c:ptCount val="1"/>
                <c:pt idx="0">
                  <c:v>Decoding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scenario4!$Q$8:$U$8</c:f>
              <c:strCache>
                <c:ptCount val="5"/>
                <c:pt idx="0">
                  <c:v>0,6</c:v>
                </c:pt>
                <c:pt idx="1">
                  <c:v>0,8</c:v>
                </c:pt>
                <c:pt idx="2">
                  <c:v>1,0</c:v>
                </c:pt>
                <c:pt idx="3">
                  <c:v>1,2</c:v>
                </c:pt>
                <c:pt idx="4">
                  <c:v>1,4</c:v>
                </c:pt>
              </c:strCache>
            </c:strRef>
          </c:cat>
          <c:val>
            <c:numRef>
              <c:f>scenario4!$Q$12:$U$12</c:f>
              <c:numCache>
                <c:formatCode>General</c:formatCode>
                <c:ptCount val="5"/>
                <c:pt idx="0">
                  <c:v>5.1132784999999997E-4</c:v>
                </c:pt>
                <c:pt idx="1">
                  <c:v>5.0884533333333322E-4</c:v>
                </c:pt>
                <c:pt idx="2">
                  <c:v>5.1168580833333332E-4</c:v>
                </c:pt>
                <c:pt idx="3">
                  <c:v>5.0836133333333341E-4</c:v>
                </c:pt>
                <c:pt idx="4">
                  <c:v>5.1211535833333333E-4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5A-4EB4-A4C3-177E63D53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2442111"/>
        <c:axId val="732438751"/>
      </c:barChart>
      <c:catAx>
        <c:axId val="7324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2438751"/>
        <c:crosses val="autoZero"/>
        <c:auto val="1"/>
        <c:lblAlgn val="ctr"/>
        <c:lblOffset val="100"/>
        <c:noMultiLvlLbl val="0"/>
      </c:catAx>
      <c:valAx>
        <c:axId val="73243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3244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AWS costs</a:t>
            </a:r>
            <a:r>
              <a:rPr lang="en-US" baseline="0"/>
              <a:t> based on PU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scenario1!$A$10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(scenario1!$E$9,scenario1!$I$9)</c:f>
              <c:strCache>
                <c:ptCount val="2"/>
                <c:pt idx="0">
                  <c:v>CPU, AWS</c:v>
                </c:pt>
                <c:pt idx="1">
                  <c:v>GPU, AWS</c:v>
                </c:pt>
              </c:strCache>
            </c:strRef>
          </c:cat>
          <c:val>
            <c:numRef>
              <c:f>(scenario1!$E$10,scenario1!$I$10)</c:f>
              <c:numCache>
                <c:formatCode>General</c:formatCode>
                <c:ptCount val="2"/>
                <c:pt idx="0">
                  <c:v>3.0430282499999996E-4</c:v>
                </c:pt>
                <c:pt idx="1">
                  <c:v>2.0737564833333329E-3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7-41A6-ADBD-072D90DB8EF5}"/>
            </c:ext>
          </c:extLst>
        </c:ser>
        <c:ser>
          <c:idx val="1"/>
          <c:order val="1"/>
          <c:tx>
            <c:strRef>
              <c:f>scenario1!$A$11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(scenario1!$E$9,scenario1!$I$9)</c:f>
              <c:strCache>
                <c:ptCount val="2"/>
                <c:pt idx="0">
                  <c:v>CPU, AWS</c:v>
                </c:pt>
                <c:pt idx="1">
                  <c:v>GPU, AWS</c:v>
                </c:pt>
              </c:strCache>
            </c:strRef>
          </c:cat>
          <c:val>
            <c:numRef>
              <c:f>(scenario1!$E$11,scenario1!$I$11)</c:f>
              <c:numCache>
                <c:formatCode>General</c:formatCode>
                <c:ptCount val="2"/>
                <c:pt idx="0">
                  <c:v>9.0039023194444442E-2</c:v>
                </c:pt>
                <c:pt idx="1">
                  <c:v>1.2058326591666666E-2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67-41A6-ADBD-072D90DB8EF5}"/>
            </c:ext>
          </c:extLst>
        </c:ser>
        <c:ser>
          <c:idx val="2"/>
          <c:order val="2"/>
          <c:tx>
            <c:strRef>
              <c:f>scenario1!$A$12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(scenario1!$E$9,scenario1!$I$9)</c:f>
              <c:strCache>
                <c:ptCount val="2"/>
                <c:pt idx="0">
                  <c:v>CPU, AWS</c:v>
                </c:pt>
                <c:pt idx="1">
                  <c:v>GPU, AWS</c:v>
                </c:pt>
              </c:strCache>
            </c:strRef>
          </c:cat>
          <c:val>
            <c:numRef>
              <c:f>(scenario1!$E$12,scenario1!$I$12)</c:f>
              <c:numCache>
                <c:formatCode>General</c:formatCode>
                <c:ptCount val="2"/>
                <c:pt idx="0">
                  <c:v>0.10845307036666667</c:v>
                </c:pt>
                <c:pt idx="1">
                  <c:v>1.9963310033333334E-2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67-41A6-ADBD-072D90DB8EF5}"/>
            </c:ext>
          </c:extLst>
        </c:ser>
        <c:ser>
          <c:idx val="3"/>
          <c:order val="3"/>
          <c:tx>
            <c:strRef>
              <c:f>scenario1!$A$13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(scenario1!$E$9,scenario1!$I$9)</c:f>
              <c:strCache>
                <c:ptCount val="2"/>
                <c:pt idx="0">
                  <c:v>CPU, AWS</c:v>
                </c:pt>
                <c:pt idx="1">
                  <c:v>GPU, AWS</c:v>
                </c:pt>
              </c:strCache>
            </c:strRef>
          </c:cat>
          <c:val>
            <c:numRef>
              <c:f>(scenario1!$E$13,scenario1!$I$13)</c:f>
              <c:numCache>
                <c:formatCode>General</c:formatCode>
                <c:ptCount val="2"/>
                <c:pt idx="0">
                  <c:v>3.6053361574999998E-2</c:v>
                </c:pt>
                <c:pt idx="1">
                  <c:v>1.2867175291666666E-2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67-41A6-ADBD-072D90DB8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3361039"/>
        <c:axId val="703363439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scenario1!$A$14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(scenario1!$E$9,scenario1!$I$9)</c15:sqref>
                        </c15:formulaRef>
                      </c:ext>
                    </c:extLst>
                    <c:strCache>
                      <c:ptCount val="2"/>
                      <c:pt idx="0">
                        <c:v>CPU, AWS</c:v>
                      </c:pt>
                      <c:pt idx="1">
                        <c:v>GPU, AWS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(scenario1!$E$14,scenario1!$I$14)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0.20087528400277777</c:v>
                      </c:pt>
                      <c:pt idx="1">
                        <c:v>4.3036081091666664E-2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1667-41A6-ADBD-072D90DB8EF5}"/>
                  </c:ext>
                </c:extLst>
              </c15:ser>
            </c15:filteredBarSeries>
          </c:ext>
        </c:extLst>
      </c:barChart>
      <c:catAx>
        <c:axId val="70336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3363439"/>
        <c:crosses val="autoZero"/>
        <c:auto val="1"/>
        <c:lblAlgn val="ctr"/>
        <c:lblOffset val="100"/>
        <c:noMultiLvlLbl val="0"/>
      </c:catAx>
      <c:valAx>
        <c:axId val="70336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Price (DKK)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336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Electricity costs based on PU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scenario1!$A$10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(scenario1!$D$10,scenario1!$H$10)</c:f>
              <c:numCache>
                <c:formatCode>General</c:formatCode>
                <c:ptCount val="2"/>
                <c:pt idx="0">
                  <c:v>3.2695749999999996E-5</c:v>
                </c:pt>
                <c:pt idx="1">
                  <c:v>1.5326924999999999E-4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E-462A-8B1C-2693CF84AA36}"/>
            </c:ext>
          </c:extLst>
        </c:ser>
        <c:ser>
          <c:idx val="1"/>
          <c:order val="1"/>
          <c:tx>
            <c:strRef>
              <c:f>scenario1!$A$11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(scenario1!$D$11,scenario1!$H$11)</c:f>
              <c:numCache>
                <c:formatCode>General</c:formatCode>
                <c:ptCount val="2"/>
                <c:pt idx="0">
                  <c:v>1.0831291E-2</c:v>
                </c:pt>
                <c:pt idx="1">
                  <c:v>3.25524075E-3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E-462A-8B1C-2693CF84AA36}"/>
            </c:ext>
          </c:extLst>
        </c:ser>
        <c:ser>
          <c:idx val="2"/>
          <c:order val="2"/>
          <c:tx>
            <c:strRef>
              <c:f>scenario1!$A$12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(scenario1!$D$12,scenario1!$H$12)</c:f>
              <c:numCache>
                <c:formatCode>General</c:formatCode>
                <c:ptCount val="2"/>
                <c:pt idx="0">
                  <c:v>1.304641825E-2</c:v>
                </c:pt>
                <c:pt idx="1">
                  <c:v>5.3892534999999998E-3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E-462A-8B1C-2693CF84AA36}"/>
            </c:ext>
          </c:extLst>
        </c:ser>
        <c:ser>
          <c:idx val="3"/>
          <c:order val="3"/>
          <c:tx>
            <c:strRef>
              <c:f>scenario1!$A$13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(scenario1!$D$13,scenario1!$H$13)</c:f>
              <c:numCache>
                <c:formatCode>General</c:formatCode>
                <c:ptCount val="2"/>
                <c:pt idx="0">
                  <c:v>4.3252672499999997E-3</c:v>
                </c:pt>
                <c:pt idx="1">
                  <c:v>2.08485175E-3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4E-462A-8B1C-2693CF84A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0398575"/>
        <c:axId val="700399055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scenario1!$A$14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(scenario1!$D$9,scenario1!$H$9)</c15:sqref>
                        </c15:formulaRef>
                      </c:ext>
                    </c:extLst>
                    <c:strCache>
                      <c:ptCount val="2"/>
                      <c:pt idx="0">
                        <c:v>CPU, Electricity</c:v>
                      </c:pt>
                      <c:pt idx="1">
                        <c:v>GPU, Electricity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(scenario1!$D$14,scenario1!$H$14)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2.3877709250000004E-2</c:v>
                      </c:pt>
                      <c:pt idx="1">
                        <c:v>8.6444945000000006E-3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7E4E-462A-8B1C-2693CF84AA36}"/>
                  </c:ext>
                </c:extLst>
              </c15:ser>
            </c15:filteredBarSeries>
          </c:ext>
        </c:extLst>
      </c:barChart>
      <c:catAx>
        <c:axId val="7003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0399055"/>
        <c:crosses val="autoZero"/>
        <c:auto val="1"/>
        <c:lblAlgn val="ctr"/>
        <c:lblOffset val="100"/>
        <c:noMultiLvlLbl val="0"/>
      </c:catAx>
      <c:valAx>
        <c:axId val="70039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  <a:r>
                  <a:rPr lang="en-US" baseline="0"/>
                  <a:t> (DKK)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222222222222223E-2"/>
              <c:y val="0.35686716243802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03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scenario1!$A$10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(scenario1!$D$9:$E$9,scenario1!$H$9:$I$9)</c:f>
              <c:strCache>
                <c:ptCount val="4"/>
                <c:pt idx="0">
                  <c:v>CPU, Electricity</c:v>
                </c:pt>
                <c:pt idx="1">
                  <c:v>CPU, AWS</c:v>
                </c:pt>
                <c:pt idx="2">
                  <c:v>GPU, Electricity</c:v>
                </c:pt>
                <c:pt idx="3">
                  <c:v>GPU, AWS</c:v>
                </c:pt>
              </c:strCache>
            </c:strRef>
          </c:cat>
          <c:val>
            <c:numRef>
              <c:f>(scenario1!$D$10:$E$10,scenario1!$H$10:$I$10)</c:f>
              <c:numCache>
                <c:formatCode>General</c:formatCode>
                <c:ptCount val="4"/>
                <c:pt idx="0">
                  <c:v>3.2695749999999996E-5</c:v>
                </c:pt>
                <c:pt idx="1">
                  <c:v>3.0430282499999996E-4</c:v>
                </c:pt>
                <c:pt idx="2">
                  <c:v>1.5326924999999999E-4</c:v>
                </c:pt>
                <c:pt idx="3">
                  <c:v>2.0737564833333329E-3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B-4251-AE24-3650B5DFCAEB}"/>
            </c:ext>
          </c:extLst>
        </c:ser>
        <c:ser>
          <c:idx val="1"/>
          <c:order val="1"/>
          <c:tx>
            <c:strRef>
              <c:f>scenario1!$A$11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(scenario1!$D$9:$E$9,scenario1!$H$9:$I$9)</c:f>
              <c:strCache>
                <c:ptCount val="4"/>
                <c:pt idx="0">
                  <c:v>CPU, Electricity</c:v>
                </c:pt>
                <c:pt idx="1">
                  <c:v>CPU, AWS</c:v>
                </c:pt>
                <c:pt idx="2">
                  <c:v>GPU, Electricity</c:v>
                </c:pt>
                <c:pt idx="3">
                  <c:v>GPU, AWS</c:v>
                </c:pt>
              </c:strCache>
            </c:strRef>
          </c:cat>
          <c:val>
            <c:numRef>
              <c:f>(scenario1!$D$11:$E$11,scenario1!$H$11:$I$11)</c:f>
              <c:numCache>
                <c:formatCode>General</c:formatCode>
                <c:ptCount val="4"/>
                <c:pt idx="0">
                  <c:v>1.0831291E-2</c:v>
                </c:pt>
                <c:pt idx="1">
                  <c:v>9.0039023194444442E-2</c:v>
                </c:pt>
                <c:pt idx="2">
                  <c:v>3.25524075E-3</c:v>
                </c:pt>
                <c:pt idx="3">
                  <c:v>1.2058326591666666E-2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B-4251-AE24-3650B5DFCAEB}"/>
            </c:ext>
          </c:extLst>
        </c:ser>
        <c:ser>
          <c:idx val="2"/>
          <c:order val="2"/>
          <c:tx>
            <c:strRef>
              <c:f>scenario1!$A$12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(scenario1!$D$9:$E$9,scenario1!$H$9:$I$9)</c:f>
              <c:strCache>
                <c:ptCount val="4"/>
                <c:pt idx="0">
                  <c:v>CPU, Electricity</c:v>
                </c:pt>
                <c:pt idx="1">
                  <c:v>CPU, AWS</c:v>
                </c:pt>
                <c:pt idx="2">
                  <c:v>GPU, Electricity</c:v>
                </c:pt>
                <c:pt idx="3">
                  <c:v>GPU, AWS</c:v>
                </c:pt>
              </c:strCache>
            </c:strRef>
          </c:cat>
          <c:val>
            <c:numRef>
              <c:f>(scenario1!$D$12:$E$12,scenario1!$H$12:$I$12)</c:f>
              <c:numCache>
                <c:formatCode>General</c:formatCode>
                <c:ptCount val="4"/>
                <c:pt idx="0">
                  <c:v>1.304641825E-2</c:v>
                </c:pt>
                <c:pt idx="1">
                  <c:v>0.10845307036666667</c:v>
                </c:pt>
                <c:pt idx="2">
                  <c:v>5.3892534999999998E-3</c:v>
                </c:pt>
                <c:pt idx="3">
                  <c:v>1.9963310033333334E-2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4B-4251-AE24-3650B5DFCAEB}"/>
            </c:ext>
          </c:extLst>
        </c:ser>
        <c:ser>
          <c:idx val="3"/>
          <c:order val="3"/>
          <c:tx>
            <c:strRef>
              <c:f>scenario1!$A$13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(scenario1!$D$9:$E$9,scenario1!$H$9:$I$9)</c:f>
              <c:strCache>
                <c:ptCount val="4"/>
                <c:pt idx="0">
                  <c:v>CPU, Electricity</c:v>
                </c:pt>
                <c:pt idx="1">
                  <c:v>CPU, AWS</c:v>
                </c:pt>
                <c:pt idx="2">
                  <c:v>GPU, Electricity</c:v>
                </c:pt>
                <c:pt idx="3">
                  <c:v>GPU, AWS</c:v>
                </c:pt>
              </c:strCache>
            </c:strRef>
          </c:cat>
          <c:val>
            <c:numRef>
              <c:f>(scenario1!$D$13:$E$13,scenario1!$H$13:$I$13)</c:f>
              <c:numCache>
                <c:formatCode>General</c:formatCode>
                <c:ptCount val="4"/>
                <c:pt idx="0">
                  <c:v>4.3252672499999997E-3</c:v>
                </c:pt>
                <c:pt idx="1">
                  <c:v>3.6053361574999998E-2</c:v>
                </c:pt>
                <c:pt idx="2">
                  <c:v>2.08485175E-3</c:v>
                </c:pt>
                <c:pt idx="3">
                  <c:v>1.2867175291666666E-2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4B-4251-AE24-3650B5DFCAEB}"/>
            </c:ext>
          </c:extLst>
        </c:ser>
        <c:ser>
          <c:idx val="4"/>
          <c:order val="4"/>
          <c:tx>
            <c:strRef>
              <c:f>scenario1!$A$14</c:f>
              <c:strCache>
                <c:ptCount val="1"/>
                <c:pt idx="0">
                  <c:v>Train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(scenario1!$D$9:$E$9,scenario1!$H$9:$I$9)</c:f>
              <c:strCache>
                <c:ptCount val="4"/>
                <c:pt idx="0">
                  <c:v>CPU, Electricity</c:v>
                </c:pt>
                <c:pt idx="1">
                  <c:v>CPU, AWS</c:v>
                </c:pt>
                <c:pt idx="2">
                  <c:v>GPU, Electricity</c:v>
                </c:pt>
                <c:pt idx="3">
                  <c:v>GPU, AWS</c:v>
                </c:pt>
              </c:strCache>
            </c:strRef>
          </c:cat>
          <c:val>
            <c:numRef>
              <c:f>(scenario1!$D$14:$E$14,scenario1!$H$14:$I$14)</c:f>
              <c:numCache>
                <c:formatCode>General</c:formatCode>
                <c:ptCount val="4"/>
                <c:pt idx="0">
                  <c:v>2.3877709250000004E-2</c:v>
                </c:pt>
                <c:pt idx="1">
                  <c:v>0.20087528400277777</c:v>
                </c:pt>
                <c:pt idx="2">
                  <c:v>8.6444945000000006E-3</c:v>
                </c:pt>
                <c:pt idx="3">
                  <c:v>4.3036081091666664E-2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4B-4251-AE24-3650B5DFC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9803263"/>
        <c:axId val="729806143"/>
      </c:barChart>
      <c:catAx>
        <c:axId val="72980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29806143"/>
        <c:crosses val="autoZero"/>
        <c:auto val="1"/>
        <c:lblAlgn val="ctr"/>
        <c:lblOffset val="100"/>
        <c:noMultiLvlLbl val="0"/>
      </c:catAx>
      <c:valAx>
        <c:axId val="72980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2980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scenario1!$A$10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(scenario1!$D$10,scenario1!$H$10)</c:f>
              <c:numCache>
                <c:formatCode>General</c:formatCode>
                <c:ptCount val="2"/>
                <c:pt idx="0">
                  <c:v>3.2695749999999996E-5</c:v>
                </c:pt>
                <c:pt idx="1">
                  <c:v>1.5326924999999999E-4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2-D249-B6FC-F881ADC6BADC}"/>
            </c:ext>
          </c:extLst>
        </c:ser>
        <c:ser>
          <c:idx val="1"/>
          <c:order val="1"/>
          <c:tx>
            <c:strRef>
              <c:f>scenario1!$A$11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(scenario1!$D$11,scenario1!$H$11)</c:f>
              <c:numCache>
                <c:formatCode>General</c:formatCode>
                <c:ptCount val="2"/>
                <c:pt idx="0">
                  <c:v>1.0831291E-2</c:v>
                </c:pt>
                <c:pt idx="1">
                  <c:v>3.25524075E-3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32-D249-B6FC-F881ADC6BADC}"/>
            </c:ext>
          </c:extLst>
        </c:ser>
        <c:ser>
          <c:idx val="2"/>
          <c:order val="2"/>
          <c:tx>
            <c:strRef>
              <c:f>scenario1!$A$12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(scenario1!$D$12,scenario1!$H$12)</c:f>
              <c:numCache>
                <c:formatCode>General</c:formatCode>
                <c:ptCount val="2"/>
                <c:pt idx="0">
                  <c:v>1.304641825E-2</c:v>
                </c:pt>
                <c:pt idx="1">
                  <c:v>5.3892534999999998E-3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32-D249-B6FC-F881ADC6BADC}"/>
            </c:ext>
          </c:extLst>
        </c:ser>
        <c:ser>
          <c:idx val="3"/>
          <c:order val="3"/>
          <c:tx>
            <c:strRef>
              <c:f>scenario1!$A$13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(scenario1!$D$9,scenario1!$H$9)</c:f>
              <c:strCache>
                <c:ptCount val="2"/>
                <c:pt idx="0">
                  <c:v>CPU, Electricity</c:v>
                </c:pt>
                <c:pt idx="1">
                  <c:v>GPU, Electricity</c:v>
                </c:pt>
              </c:strCache>
            </c:strRef>
          </c:cat>
          <c:val>
            <c:numRef>
              <c:f>(scenario1!$D$13,scenario1!$H$13)</c:f>
              <c:numCache>
                <c:formatCode>General</c:formatCode>
                <c:ptCount val="2"/>
                <c:pt idx="0">
                  <c:v>4.3252672499999997E-3</c:v>
                </c:pt>
                <c:pt idx="1">
                  <c:v>2.08485175E-3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32-D249-B6FC-F881ADC6B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0398575"/>
        <c:axId val="700399055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scenario1!$A$14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(scenario1!$D$9,scenario1!$H$9)</c15:sqref>
                        </c15:formulaRef>
                      </c:ext>
                    </c:extLst>
                    <c:strCache>
                      <c:ptCount val="2"/>
                      <c:pt idx="0">
                        <c:v>CPU, Electricity</c:v>
                      </c:pt>
                      <c:pt idx="1">
                        <c:v>GPU, Electricity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(scenario1!$D$14,scenario1!$H$14)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2.3877709250000004E-2</c:v>
                      </c:pt>
                      <c:pt idx="1">
                        <c:v>8.6444945000000006E-3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2E32-D249-B6FC-F881ADC6BADC}"/>
                  </c:ext>
                </c:extLst>
              </c15:ser>
            </c15:filteredBarSeries>
          </c:ext>
        </c:extLst>
      </c:barChart>
      <c:catAx>
        <c:axId val="7003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0399055"/>
        <c:crosses val="autoZero"/>
        <c:auto val="1"/>
        <c:lblAlgn val="ctr"/>
        <c:lblOffset val="100"/>
        <c:noMultiLvlLbl val="0"/>
      </c:catAx>
      <c:valAx>
        <c:axId val="70039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DKK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222222222222223E-2"/>
              <c:y val="0.356867162438028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03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scenario2!$A$10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(scenario2!$H$10,scenario2!$J$10,scenario2!$L$10)</c:f>
              <c:numCache>
                <c:formatCode>General</c:formatCode>
                <c:ptCount val="3"/>
                <c:pt idx="0">
                  <c:v>1.57842E-4</c:v>
                </c:pt>
                <c:pt idx="1">
                  <c:v>1.8637000000000001E-5</c:v>
                </c:pt>
                <c:pt idx="2">
                  <c:v>1.8915499999999999E-5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D1-6142-9575-A5682C7DC242}"/>
            </c:ext>
          </c:extLst>
        </c:ser>
        <c:ser>
          <c:idx val="1"/>
          <c:order val="1"/>
          <c:tx>
            <c:strRef>
              <c:f>scenario2!$A$11</c:f>
              <c:strCache>
                <c:ptCount val="1"/>
                <c:pt idx="0">
                  <c:v>Forward pass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(scenario2!$H$11,scenario2!$J$11,scenario2!$L$11)</c:f>
              <c:numCache>
                <c:formatCode>General</c:formatCode>
                <c:ptCount val="3"/>
                <c:pt idx="0">
                  <c:v>3.2265235E-3</c:v>
                </c:pt>
                <c:pt idx="1">
                  <c:v>6.6650685000000003E-3</c:v>
                </c:pt>
                <c:pt idx="2">
                  <c:v>1.0399248500000001E-2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D1-6142-9575-A5682C7DC242}"/>
            </c:ext>
          </c:extLst>
        </c:ser>
        <c:ser>
          <c:idx val="2"/>
          <c:order val="2"/>
          <c:tx>
            <c:strRef>
              <c:f>scenario2!$A$12</c:f>
              <c:strCache>
                <c:ptCount val="1"/>
                <c:pt idx="0">
                  <c:v>Backward prop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(scenario2!$H$12,scenario2!$J$12,scenario2!$L$12)</c:f>
              <c:numCache>
                <c:formatCode>General</c:formatCode>
                <c:ptCount val="3"/>
                <c:pt idx="0">
                  <c:v>5.4101415E-3</c:v>
                </c:pt>
                <c:pt idx="1">
                  <c:v>1.0523277750000001E-2</c:v>
                </c:pt>
                <c:pt idx="2">
                  <c:v>1.5839309999999999E-2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D1-6142-9575-A5682C7DC242}"/>
            </c:ext>
          </c:extLst>
        </c:ser>
        <c:ser>
          <c:idx val="3"/>
          <c:order val="3"/>
          <c:tx>
            <c:strRef>
              <c:f>scenario2!$A$13</c:f>
              <c:strCache>
                <c:ptCount val="1"/>
                <c:pt idx="0">
                  <c:v>Eval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(scenario2!$H$9,scenario2!$J$9,scenario2!$L$9)</c:f>
              <c:strCache>
                <c:ptCount val="3"/>
                <c:pt idx="0">
                  <c:v>4 layers, electricity </c:v>
                </c:pt>
                <c:pt idx="1">
                  <c:v>6 layers, electricity</c:v>
                </c:pt>
                <c:pt idx="2">
                  <c:v>12 layers, electricity</c:v>
                </c:pt>
              </c:strCache>
            </c:strRef>
          </c:cat>
          <c:val>
            <c:numRef>
              <c:f>(scenario2!$H$13,scenario2!$J$13,scenario2!$L$13)</c:f>
              <c:numCache>
                <c:formatCode>General</c:formatCode>
                <c:ptCount val="3"/>
                <c:pt idx="0">
                  <c:v>2.0353330000000003E-3</c:v>
                </c:pt>
                <c:pt idx="1">
                  <c:v>3.5407345E-3</c:v>
                </c:pt>
                <c:pt idx="2">
                  <c:v>5.0287117499999996E-3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D1-6142-9575-A5682C7DC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5457551"/>
        <c:axId val="675461871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scenario2!$A$14</c15:sqref>
                        </c15:formulaRef>
                      </c:ext>
                    </c:extLst>
                    <c:strCache>
                      <c:ptCount val="1"/>
                      <c:pt idx="0">
                        <c:v>Train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(scenario2!$H$9,scenario2!$J$9,scenario2!$L$9)</c15:sqref>
                        </c15:formulaRef>
                      </c:ext>
                    </c:extLst>
                    <c:strCache>
                      <c:ptCount val="3"/>
                      <c:pt idx="0">
                        <c:v>4 layers, electricity </c:v>
                      </c:pt>
                      <c:pt idx="1">
                        <c:v>6 layers, electricity</c:v>
                      </c:pt>
                      <c:pt idx="2">
                        <c:v>12 layers, electricity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(scenario2!$H$14,scenario2!$J$14,scenario2!$L$14)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8.636665E-3</c:v>
                      </c:pt>
                      <c:pt idx="1">
                        <c:v>1.718834625E-2</c:v>
                      </c:pt>
                      <c:pt idx="2">
                        <c:v>2.6238558500000002E-2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8D1-6142-9575-A5682C7DC242}"/>
                  </c:ext>
                </c:extLst>
              </c15:ser>
            </c15:filteredBarSeries>
          </c:ext>
        </c:extLst>
      </c:barChart>
      <c:catAx>
        <c:axId val="67545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75461871"/>
        <c:crosses val="autoZero"/>
        <c:auto val="1"/>
        <c:lblAlgn val="ctr"/>
        <c:lblOffset val="100"/>
        <c:noMultiLvlLbl val="0"/>
      </c:catAx>
      <c:valAx>
        <c:axId val="67546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DKK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7545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scenario5!$A$9</c:f>
              <c:strCache>
                <c:ptCount val="1"/>
                <c:pt idx="0">
                  <c:v>Setup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scenario5!$L$9:$P$9</c:f>
              <c:numCache>
                <c:formatCode>General</c:formatCode>
                <c:ptCount val="5"/>
                <c:pt idx="0">
                  <c:v>1.7652E-5</c:v>
                </c:pt>
                <c:pt idx="1">
                  <c:v>1.5985499999999998E-5</c:v>
                </c:pt>
                <c:pt idx="2">
                  <c:v>1.7986E-5</c:v>
                </c:pt>
                <c:pt idx="3">
                  <c:v>1.6858250000000001E-5</c:v>
                </c:pt>
                <c:pt idx="4">
                  <c:v>1.65135E-5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4-2D4B-8234-695F88AE71E1}"/>
            </c:ext>
          </c:extLst>
        </c:ser>
        <c:ser>
          <c:idx val="1"/>
          <c:order val="1"/>
          <c:tx>
            <c:strRef>
              <c:f>scenario5!$A$10</c:f>
              <c:strCache>
                <c:ptCount val="1"/>
                <c:pt idx="0">
                  <c:v>Encoding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scenario5!$L$10:$P$10</c:f>
              <c:numCache>
                <c:formatCode>General</c:formatCode>
                <c:ptCount val="5"/>
                <c:pt idx="0">
                  <c:v>1.404625E-5</c:v>
                </c:pt>
                <c:pt idx="1">
                  <c:v>1.4442499999999999E-5</c:v>
                </c:pt>
                <c:pt idx="2">
                  <c:v>1.4378E-5</c:v>
                </c:pt>
                <c:pt idx="3">
                  <c:v>1.389875E-5</c:v>
                </c:pt>
                <c:pt idx="4">
                  <c:v>1.4748250000000001E-5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4-2D4B-8234-695F88AE71E1}"/>
            </c:ext>
          </c:extLst>
        </c:ser>
        <c:ser>
          <c:idx val="2"/>
          <c:order val="2"/>
          <c:tx>
            <c:strRef>
              <c:f>scenario5!$A$11</c:f>
              <c:strCache>
                <c:ptCount val="1"/>
                <c:pt idx="0">
                  <c:v>Generation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scenario5!$L$11:$P$11</c:f>
              <c:numCache>
                <c:formatCode>General</c:formatCode>
                <c:ptCount val="5"/>
                <c:pt idx="0">
                  <c:v>1.0230324999999999E-4</c:v>
                </c:pt>
                <c:pt idx="1">
                  <c:v>1.3604125E-4</c:v>
                </c:pt>
                <c:pt idx="2">
                  <c:v>1.8595250000000001E-4</c:v>
                </c:pt>
                <c:pt idx="3">
                  <c:v>2.1932625E-4</c:v>
                </c:pt>
                <c:pt idx="4">
                  <c:v>2.7137549999999998E-4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4-2D4B-8234-695F88AE71E1}"/>
            </c:ext>
          </c:extLst>
        </c:ser>
        <c:ser>
          <c:idx val="3"/>
          <c:order val="3"/>
          <c:tx>
            <c:strRef>
              <c:f>scenario5!$A$12</c:f>
              <c:strCache>
                <c:ptCount val="1"/>
                <c:pt idx="0">
                  <c:v>Decoding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scenario5!$L$8:$P$8</c:f>
              <c:numCache>
                <c:formatCode>@</c:formatCode>
                <c:ptCount val="5"/>
                <c:pt idx="0">
                  <c:v>500</c:v>
                </c:pt>
                <c:pt idx="1">
                  <c:v>750</c:v>
                </c:pt>
                <c:pt idx="2">
                  <c:v>1000</c:v>
                </c:pt>
                <c:pt idx="3">
                  <c:v>1250</c:v>
                </c:pt>
                <c:pt idx="4">
                  <c:v>1500</c:v>
                </c:pt>
              </c:numCache>
            </c:numRef>
          </c:cat>
          <c:val>
            <c:numRef>
              <c:f>scenario5!$L$12:$P$12</c:f>
              <c:numCache>
                <c:formatCode>General</c:formatCode>
                <c:ptCount val="5"/>
                <c:pt idx="0">
                  <c:v>1.4700499999999999E-5</c:v>
                </c:pt>
                <c:pt idx="1">
                  <c:v>1.52835E-5</c:v>
                </c:pt>
                <c:pt idx="2">
                  <c:v>1.4087749999999999E-5</c:v>
                </c:pt>
                <c:pt idx="3">
                  <c:v>1.4378E-5</c:v>
                </c:pt>
                <c:pt idx="4">
                  <c:v>1.4457749999999999E-5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94-2D4B-8234-695F88AE7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4020255"/>
        <c:axId val="824014495"/>
      </c:barChart>
      <c:catAx>
        <c:axId val="824020255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24014495"/>
        <c:crosses val="autoZero"/>
        <c:auto val="1"/>
        <c:lblAlgn val="ctr"/>
        <c:lblOffset val="100"/>
        <c:noMultiLvlLbl val="0"/>
      </c:catAx>
      <c:valAx>
        <c:axId val="8240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DKK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2402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14</xdr:row>
      <xdr:rowOff>32385</xdr:rowOff>
    </xdr:from>
    <xdr:to>
      <xdr:col>15</xdr:col>
      <xdr:colOff>295275</xdr:colOff>
      <xdr:row>28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438AAE-FD21-92A6-46F9-72EAAD8CF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136343</xdr:colOff>
      <xdr:row>14</xdr:row>
      <xdr:rowOff>141786</xdr:rowOff>
    </xdr:from>
    <xdr:to>
      <xdr:col>24</xdr:col>
      <xdr:colOff>424542</xdr:colOff>
      <xdr:row>28</xdr:row>
      <xdr:rowOff>141786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5BA020-94BC-320F-A223-E70D5C09F2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315807</xdr:colOff>
      <xdr:row>27</xdr:row>
      <xdr:rowOff>166794</xdr:rowOff>
    </xdr:from>
    <xdr:to>
      <xdr:col>31</xdr:col>
      <xdr:colOff>609177</xdr:colOff>
      <xdr:row>42</xdr:row>
      <xdr:rowOff>52494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F5274-9357-622E-54C3-ABC63E647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265748</xdr:colOff>
      <xdr:row>21</xdr:row>
      <xdr:rowOff>76835</xdr:rowOff>
    </xdr:from>
    <xdr:to>
      <xdr:col>21</xdr:col>
      <xdr:colOff>191665</xdr:colOff>
      <xdr:row>35</xdr:row>
      <xdr:rowOff>179493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F98D6-03FC-5424-80B1-4944C5F23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405977</xdr:colOff>
      <xdr:row>7</xdr:row>
      <xdr:rowOff>150919</xdr:rowOff>
    </xdr:from>
    <xdr:to>
      <xdr:col>29</xdr:col>
      <xdr:colOff>67310</xdr:colOff>
      <xdr:row>22</xdr:row>
      <xdr:rowOff>36619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EA280E-7D4D-4507-C431-2C9AEA4D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499105</xdr:colOff>
      <xdr:row>15</xdr:row>
      <xdr:rowOff>3810</xdr:rowOff>
    </xdr:from>
    <xdr:to>
      <xdr:col>11</xdr:col>
      <xdr:colOff>262885</xdr:colOff>
      <xdr:row>29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79C4B-B878-FFAB-155D-E0C1E06424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664</xdr:colOff>
      <xdr:row>14</xdr:row>
      <xdr:rowOff>186690</xdr:rowOff>
    </xdr:from>
    <xdr:to>
      <xdr:col>20</xdr:col>
      <xdr:colOff>391077</xdr:colOff>
      <xdr:row>29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422C1C-B942-D75A-D621-EB8D788F7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14</xdr:row>
      <xdr:rowOff>182880</xdr:rowOff>
    </xdr:from>
    <xdr:to>
      <xdr:col>16</xdr:col>
      <xdr:colOff>579119</xdr:colOff>
      <xdr:row>29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1DED85-D35C-EF46-DED7-F1A754686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118110</xdr:colOff>
      <xdr:row>14</xdr:row>
      <xdr:rowOff>64770</xdr:rowOff>
    </xdr:from>
    <xdr:to>
      <xdr:col>26</xdr:col>
      <xdr:colOff>45720</xdr:colOff>
      <xdr:row>28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35F1F-05A0-D659-1142-41163ED8B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531084</xdr:colOff>
      <xdr:row>7</xdr:row>
      <xdr:rowOff>177230</xdr:rowOff>
    </xdr:from>
    <xdr:to>
      <xdr:col>17</xdr:col>
      <xdr:colOff>226284</xdr:colOff>
      <xdr:row>22</xdr:row>
      <xdr:rowOff>61329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57C34-DFB5-1FB5-BFC8-F518EF7AF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192364</xdr:colOff>
      <xdr:row>8</xdr:row>
      <xdr:rowOff>64792</xdr:rowOff>
    </xdr:from>
    <xdr:to>
      <xdr:col>19</xdr:col>
      <xdr:colOff>233028</xdr:colOff>
      <xdr:row>22</xdr:row>
      <xdr:rowOff>93211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B26C5E-6AC4-8B3F-6701-59C73D6DA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24765</xdr:colOff>
      <xdr:row>8</xdr:row>
      <xdr:rowOff>83820</xdr:rowOff>
    </xdr:from>
    <xdr:to>
      <xdr:col>30</xdr:col>
      <xdr:colOff>331470</xdr:colOff>
      <xdr:row>22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E21C74-7925-5446-B6CB-82EA1D5DB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757915</xdr:colOff>
      <xdr:row>34</xdr:row>
      <xdr:rowOff>110445</xdr:rowOff>
    </xdr:from>
    <xdr:to>
      <xdr:col>6</xdr:col>
      <xdr:colOff>243840</xdr:colOff>
      <xdr:row>51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C29F79-2618-DC4F-A352-1AE94B850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815271</xdr:colOff>
      <xdr:row>34</xdr:row>
      <xdr:rowOff>134087</xdr:rowOff>
    </xdr:from>
    <xdr:to>
      <xdr:col>10</xdr:col>
      <xdr:colOff>670560</xdr:colOff>
      <xdr:row>51</xdr:row>
      <xdr:rowOff>69272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9F273C-7D0A-2440-AE41-E0AA9F035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683259</xdr:colOff>
      <xdr:row>34</xdr:row>
      <xdr:rowOff>134529</xdr:rowOff>
    </xdr:from>
    <xdr:to>
      <xdr:col>14</xdr:col>
      <xdr:colOff>607391</xdr:colOff>
      <xdr:row>51</xdr:row>
      <xdr:rowOff>37630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EF9F60-546A-6948-8760-418B2D640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D9EF-F8BB-409B-B289-C442DC9BC5BE}">
  <dimension ref="A1:AH12"/>
  <sheetViews>
    <sheetView topLeftCell="F8" zoomScale="125" zoomScaleNormal="70" workbookViewId="0">
      <selection activeCell="T32" sqref="T32"/>
    </sheetView>
  </sheetViews>
  <sheetFormatPr baseColWidth="10" defaultColWidth="8.83203125" defaultRowHeight="15" x14ac:dyDescent="0.2"/>
  <cols>
    <col min="2" max="2" width="12.1640625" bestFit="1" customWidth="1"/>
    <col min="3" max="7" width="9" bestFit="1" customWidth="1"/>
    <col min="8" max="8" width="12.1640625" bestFit="1" customWidth="1"/>
    <col min="9" max="11" width="9" bestFit="1" customWidth="1"/>
    <col min="12" max="12" width="12.6640625" bestFit="1" customWidth="1"/>
    <col min="13" max="21" width="9" bestFit="1" customWidth="1"/>
    <col min="23" max="24" width="12.1640625" bestFit="1" customWidth="1"/>
    <col min="25" max="27" width="9" bestFit="1" customWidth="1"/>
    <col min="30" max="30" width="9" bestFit="1" customWidth="1"/>
    <col min="31" max="31" width="12.1640625" bestFit="1" customWidth="1"/>
    <col min="32" max="32" width="9" bestFit="1" customWidth="1"/>
  </cols>
  <sheetData>
    <row r="1" spans="1:34" x14ac:dyDescent="0.2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7</v>
      </c>
      <c r="H1" t="s">
        <v>0</v>
      </c>
      <c r="I1" t="s">
        <v>1</v>
      </c>
      <c r="J1" t="s">
        <v>8</v>
      </c>
      <c r="K1" t="s">
        <v>9</v>
      </c>
      <c r="L1" t="s">
        <v>10</v>
      </c>
      <c r="M1" t="s">
        <v>7</v>
      </c>
      <c r="O1" t="s">
        <v>0</v>
      </c>
      <c r="P1" t="s">
        <v>1</v>
      </c>
      <c r="Q1" t="s">
        <v>8</v>
      </c>
      <c r="R1" t="s">
        <v>9</v>
      </c>
      <c r="S1" t="s">
        <v>10</v>
      </c>
      <c r="T1" t="s">
        <v>7</v>
      </c>
      <c r="V1" t="s">
        <v>0</v>
      </c>
      <c r="W1" t="s">
        <v>1</v>
      </c>
      <c r="X1" t="s">
        <v>8</v>
      </c>
      <c r="Y1" t="s">
        <v>9</v>
      </c>
      <c r="Z1" t="s">
        <v>10</v>
      </c>
      <c r="AA1" t="s">
        <v>7</v>
      </c>
      <c r="AC1" t="s">
        <v>0</v>
      </c>
      <c r="AD1" t="s">
        <v>1</v>
      </c>
      <c r="AE1" t="s">
        <v>8</v>
      </c>
      <c r="AF1" t="s">
        <v>9</v>
      </c>
      <c r="AG1" t="s">
        <v>10</v>
      </c>
      <c r="AH1" t="s">
        <v>7</v>
      </c>
    </row>
    <row r="2" spans="1:34" x14ac:dyDescent="0.2">
      <c r="A2" t="s">
        <v>2</v>
      </c>
      <c r="B2">
        <v>7.0608000000000002E-6</v>
      </c>
      <c r="C2">
        <v>1.0708E-6</v>
      </c>
      <c r="D2">
        <v>1</v>
      </c>
      <c r="E2">
        <v>0.62173800000000001</v>
      </c>
      <c r="F2">
        <v>0.62173800000000001</v>
      </c>
      <c r="H2" t="s">
        <v>2</v>
      </c>
      <c r="I2">
        <v>6.3941999999999997E-6</v>
      </c>
      <c r="J2">
        <v>9.6970000000000001E-7</v>
      </c>
      <c r="K2">
        <v>1</v>
      </c>
      <c r="L2">
        <v>0.61738499999999996</v>
      </c>
      <c r="M2">
        <v>0.61738499999999996</v>
      </c>
      <c r="O2" t="s">
        <v>2</v>
      </c>
      <c r="P2">
        <v>7.1944000000000001E-6</v>
      </c>
      <c r="Q2">
        <v>1.091E-6</v>
      </c>
      <c r="R2">
        <v>1</v>
      </c>
      <c r="S2">
        <v>0.64368000000000003</v>
      </c>
      <c r="T2">
        <v>0.64368000000000003</v>
      </c>
      <c r="V2" t="s">
        <v>2</v>
      </c>
      <c r="W2">
        <v>6.7433000000000003E-6</v>
      </c>
      <c r="X2">
        <v>1.0226E-6</v>
      </c>
      <c r="Y2">
        <v>1</v>
      </c>
      <c r="Z2">
        <v>0.62440300000000004</v>
      </c>
      <c r="AA2">
        <v>0.62440300000000004</v>
      </c>
      <c r="AC2" t="s">
        <v>2</v>
      </c>
      <c r="AD2">
        <v>6.6054000000000003E-6</v>
      </c>
      <c r="AE2">
        <v>1.0017000000000001E-6</v>
      </c>
      <c r="AF2">
        <v>1</v>
      </c>
      <c r="AG2">
        <v>0.61913399999999996</v>
      </c>
      <c r="AH2">
        <v>0.61913399999999996</v>
      </c>
    </row>
    <row r="3" spans="1:34" x14ac:dyDescent="0.2">
      <c r="A3" t="s">
        <v>46</v>
      </c>
      <c r="B3">
        <v>5.6184999999999997E-6</v>
      </c>
      <c r="C3">
        <v>8.5199999999999995E-7</v>
      </c>
      <c r="D3">
        <v>1</v>
      </c>
      <c r="E3">
        <v>0.51195199999999996</v>
      </c>
      <c r="F3">
        <v>0.51195199999999996</v>
      </c>
      <c r="H3" t="s">
        <v>46</v>
      </c>
      <c r="I3">
        <v>5.7769999999999999E-6</v>
      </c>
      <c r="J3">
        <v>8.7609999999999996E-7</v>
      </c>
      <c r="K3">
        <v>1</v>
      </c>
      <c r="L3">
        <v>0.51214499999999996</v>
      </c>
      <c r="M3">
        <v>0.51214499999999996</v>
      </c>
      <c r="O3" t="s">
        <v>46</v>
      </c>
      <c r="P3">
        <v>5.7512000000000001E-6</v>
      </c>
      <c r="Q3">
        <v>8.7219999999999999E-7</v>
      </c>
      <c r="R3">
        <v>1</v>
      </c>
      <c r="S3">
        <v>0.50897599999999998</v>
      </c>
      <c r="T3">
        <v>0.50897599999999998</v>
      </c>
      <c r="V3" t="s">
        <v>46</v>
      </c>
      <c r="W3">
        <v>5.5594999999999999E-6</v>
      </c>
      <c r="X3">
        <v>8.4310000000000003E-7</v>
      </c>
      <c r="Y3">
        <v>1</v>
      </c>
      <c r="Z3">
        <v>0.51188400000000001</v>
      </c>
      <c r="AA3">
        <v>0.51188400000000001</v>
      </c>
      <c r="AC3" t="s">
        <v>46</v>
      </c>
      <c r="AD3">
        <v>5.8993000000000004E-6</v>
      </c>
      <c r="AE3">
        <v>8.9459999999999998E-7</v>
      </c>
      <c r="AF3">
        <v>1</v>
      </c>
      <c r="AG3">
        <v>0.51134999999999997</v>
      </c>
      <c r="AH3">
        <v>0.51134999999999997</v>
      </c>
    </row>
    <row r="4" spans="1:34" x14ac:dyDescent="0.2">
      <c r="A4" t="s">
        <v>47</v>
      </c>
      <c r="B4">
        <v>4.0921299999999997E-5</v>
      </c>
      <c r="C4">
        <v>6.2056999999999997E-6</v>
      </c>
      <c r="D4">
        <v>1</v>
      </c>
      <c r="E4">
        <v>3.0747930000000001</v>
      </c>
      <c r="F4">
        <v>3.0747930000000001</v>
      </c>
      <c r="H4" t="s">
        <v>47</v>
      </c>
      <c r="I4">
        <v>5.4416500000000003E-5</v>
      </c>
      <c r="J4">
        <v>8.2523000000000006E-6</v>
      </c>
      <c r="K4">
        <v>1</v>
      </c>
      <c r="L4">
        <v>4.0274049999999999</v>
      </c>
      <c r="M4">
        <v>4.0274049999999999</v>
      </c>
      <c r="O4" t="s">
        <v>47</v>
      </c>
      <c r="P4">
        <v>7.4381000000000005E-5</v>
      </c>
      <c r="Q4">
        <v>1.12799E-5</v>
      </c>
      <c r="R4">
        <v>1</v>
      </c>
      <c r="S4">
        <v>5.4386159999999997</v>
      </c>
      <c r="T4">
        <v>5.4386159999999997</v>
      </c>
      <c r="V4" t="s">
        <v>47</v>
      </c>
      <c r="W4">
        <v>8.7730499999999996E-5</v>
      </c>
      <c r="X4">
        <v>1.3304300000000001E-5</v>
      </c>
      <c r="Y4">
        <v>1</v>
      </c>
      <c r="Z4">
        <v>6.3332550000000003</v>
      </c>
      <c r="AA4">
        <v>6.3332550000000003</v>
      </c>
      <c r="AC4" t="s">
        <v>47</v>
      </c>
      <c r="AD4">
        <v>1.085502E-4</v>
      </c>
      <c r="AE4">
        <v>1.6461599999999998E-5</v>
      </c>
      <c r="AF4">
        <v>1</v>
      </c>
      <c r="AG4">
        <v>7.7665509999999998</v>
      </c>
      <c r="AH4">
        <v>7.7665509999999998</v>
      </c>
    </row>
    <row r="5" spans="1:34" x14ac:dyDescent="0.2">
      <c r="A5" t="s">
        <v>48</v>
      </c>
      <c r="B5">
        <v>5.8802E-6</v>
      </c>
      <c r="C5">
        <v>8.9169999999999997E-7</v>
      </c>
      <c r="D5">
        <v>1</v>
      </c>
      <c r="E5">
        <v>0.50506499999999999</v>
      </c>
      <c r="F5">
        <v>0.50506499999999999</v>
      </c>
      <c r="H5" t="s">
        <v>48</v>
      </c>
      <c r="I5">
        <v>6.1133999999999998E-6</v>
      </c>
      <c r="J5">
        <v>9.2709999999999998E-7</v>
      </c>
      <c r="K5">
        <v>1</v>
      </c>
      <c r="L5">
        <v>0.50589700000000004</v>
      </c>
      <c r="M5">
        <v>0.50589700000000004</v>
      </c>
      <c r="O5" t="s">
        <v>48</v>
      </c>
      <c r="P5">
        <v>5.6350999999999996E-6</v>
      </c>
      <c r="Q5">
        <v>8.5460000000000004E-7</v>
      </c>
      <c r="R5">
        <v>1</v>
      </c>
      <c r="S5">
        <v>0.50390299999999999</v>
      </c>
      <c r="T5">
        <v>0.50390299999999999</v>
      </c>
      <c r="V5" t="s">
        <v>48</v>
      </c>
      <c r="W5">
        <v>5.7512000000000001E-6</v>
      </c>
      <c r="X5">
        <v>8.7219999999999999E-7</v>
      </c>
      <c r="Y5">
        <v>1</v>
      </c>
      <c r="Z5">
        <v>0.50523300000000004</v>
      </c>
      <c r="AA5">
        <v>0.50523300000000004</v>
      </c>
      <c r="AC5" t="s">
        <v>48</v>
      </c>
      <c r="AD5">
        <v>5.7830999999999997E-6</v>
      </c>
      <c r="AE5">
        <v>8.7700000000000003E-7</v>
      </c>
      <c r="AF5">
        <v>1</v>
      </c>
      <c r="AG5">
        <v>0.503552</v>
      </c>
      <c r="AH5">
        <v>0.503552</v>
      </c>
    </row>
    <row r="6" spans="1:34" ht="16" thickBot="1" x14ac:dyDescent="0.25"/>
    <row r="7" spans="1:34" x14ac:dyDescent="0.2">
      <c r="B7" s="70" t="s">
        <v>58</v>
      </c>
      <c r="C7" s="72"/>
      <c r="D7" s="70" t="s">
        <v>59</v>
      </c>
      <c r="E7" s="72"/>
      <c r="F7" s="70" t="s">
        <v>60</v>
      </c>
      <c r="G7" s="72"/>
      <c r="H7" s="70" t="s">
        <v>61</v>
      </c>
      <c r="I7" s="72"/>
      <c r="J7" s="70" t="s">
        <v>62</v>
      </c>
      <c r="K7" s="72"/>
      <c r="L7" s="70" t="s">
        <v>63</v>
      </c>
      <c r="M7" s="71"/>
      <c r="N7" s="71"/>
      <c r="O7" s="71"/>
      <c r="P7" s="72"/>
      <c r="Q7" s="70" t="s">
        <v>64</v>
      </c>
      <c r="R7" s="71"/>
      <c r="S7" s="71"/>
      <c r="T7" s="71"/>
      <c r="U7" s="72"/>
    </row>
    <row r="8" spans="1:34" x14ac:dyDescent="0.2">
      <c r="A8" t="s">
        <v>12</v>
      </c>
      <c r="B8" s="40" t="s">
        <v>1</v>
      </c>
      <c r="C8" s="41" t="s">
        <v>10</v>
      </c>
      <c r="D8" s="40" t="s">
        <v>1</v>
      </c>
      <c r="E8" s="41" t="s">
        <v>10</v>
      </c>
      <c r="F8" s="40" t="s">
        <v>1</v>
      </c>
      <c r="G8" s="41" t="s">
        <v>10</v>
      </c>
      <c r="H8" s="40" t="s">
        <v>1</v>
      </c>
      <c r="I8" s="41" t="s">
        <v>10</v>
      </c>
      <c r="J8" s="40" t="s">
        <v>1</v>
      </c>
      <c r="K8" s="41" t="s">
        <v>10</v>
      </c>
      <c r="L8" s="49">
        <v>500</v>
      </c>
      <c r="M8" s="50">
        <v>750</v>
      </c>
      <c r="N8" s="50">
        <v>1000</v>
      </c>
      <c r="O8" s="50">
        <v>1250</v>
      </c>
      <c r="P8" s="51">
        <v>1500</v>
      </c>
      <c r="Q8" s="49">
        <v>500</v>
      </c>
      <c r="R8" s="50">
        <v>750</v>
      </c>
      <c r="S8" s="50">
        <v>1000</v>
      </c>
      <c r="T8" s="50">
        <v>1250</v>
      </c>
      <c r="U8" s="51">
        <v>1500</v>
      </c>
    </row>
    <row r="9" spans="1:34" x14ac:dyDescent="0.2">
      <c r="A9" t="s">
        <v>18</v>
      </c>
      <c r="B9" s="40">
        <v>7.0608000000000002E-6</v>
      </c>
      <c r="C9" s="41">
        <v>0.62173800000000001</v>
      </c>
      <c r="D9" s="40">
        <v>6.3941999999999997E-6</v>
      </c>
      <c r="E9" s="41">
        <v>0.61738499999999996</v>
      </c>
      <c r="F9" s="40">
        <v>7.1944000000000001E-6</v>
      </c>
      <c r="G9" s="41">
        <v>0.64368000000000003</v>
      </c>
      <c r="H9" s="40">
        <v>6.7433000000000003E-6</v>
      </c>
      <c r="I9" s="41">
        <v>0.62440300000000004</v>
      </c>
      <c r="J9" s="40">
        <v>6.6054000000000003E-6</v>
      </c>
      <c r="K9" s="41">
        <v>0.61913399999999996</v>
      </c>
      <c r="L9" s="40">
        <f>B9*scenario1!$T$1</f>
        <v>1.7652E-5</v>
      </c>
      <c r="M9">
        <f>D9*scenario1!$T$1</f>
        <v>1.5985499999999998E-5</v>
      </c>
      <c r="N9">
        <f>F9*scenario1!$T$1</f>
        <v>1.7986E-5</v>
      </c>
      <c r="O9">
        <f>H9*scenario1!$T$1</f>
        <v>1.6858250000000001E-5</v>
      </c>
      <c r="P9" s="41">
        <f>J9*scenario1!$T$1</f>
        <v>1.65135E-5</v>
      </c>
      <c r="Q9" s="40">
        <f>C9*scenario1!$T$2/3600</f>
        <v>6.2691915000000003E-4</v>
      </c>
      <c r="R9">
        <f>E9*scenario1!$T$2/3600</f>
        <v>6.2252987499999989E-4</v>
      </c>
      <c r="S9">
        <f>G9*scenario1!$T$2/3600</f>
        <v>6.4904399999999999E-4</v>
      </c>
      <c r="T9">
        <f>I9*scenario1!$T$2/3600</f>
        <v>6.2960635833333339E-4</v>
      </c>
      <c r="U9" s="41">
        <f>K9*scenario1!$T$2/3600</f>
        <v>6.2429344999999999E-4</v>
      </c>
    </row>
    <row r="10" spans="1:34" x14ac:dyDescent="0.2">
      <c r="A10" t="s">
        <v>51</v>
      </c>
      <c r="B10" s="40">
        <v>5.6184999999999997E-6</v>
      </c>
      <c r="C10" s="41">
        <v>0.51195199999999996</v>
      </c>
      <c r="D10" s="40">
        <v>5.7769999999999999E-6</v>
      </c>
      <c r="E10" s="41">
        <v>0.51214499999999996</v>
      </c>
      <c r="F10" s="40">
        <v>5.7512000000000001E-6</v>
      </c>
      <c r="G10" s="41">
        <v>0.50897599999999998</v>
      </c>
      <c r="H10" s="40">
        <v>5.5594999999999999E-6</v>
      </c>
      <c r="I10" s="41">
        <v>0.51188400000000001</v>
      </c>
      <c r="J10" s="40">
        <v>5.8993000000000004E-6</v>
      </c>
      <c r="K10" s="41">
        <v>0.51134999999999997</v>
      </c>
      <c r="L10" s="40">
        <f>B10*scenario1!$T$1</f>
        <v>1.404625E-5</v>
      </c>
      <c r="M10">
        <f>D10*scenario1!$T$1</f>
        <v>1.4442499999999999E-5</v>
      </c>
      <c r="N10">
        <f>F10*scenario1!$T$1</f>
        <v>1.4378E-5</v>
      </c>
      <c r="O10">
        <f>H10*scenario1!$T$1</f>
        <v>1.389875E-5</v>
      </c>
      <c r="P10" s="41">
        <f>J10*scenario1!$T$1</f>
        <v>1.4748250000000001E-5</v>
      </c>
      <c r="Q10" s="40">
        <f>C10*scenario1!$T$2/3600</f>
        <v>5.1621826666666665E-4</v>
      </c>
      <c r="R10">
        <f>E10*scenario1!$T$2/3600</f>
        <v>5.1641287499999992E-4</v>
      </c>
      <c r="S10">
        <f>G10*scenario1!$T$2/3600</f>
        <v>5.1321746666666663E-4</v>
      </c>
      <c r="T10">
        <f>I10*scenario1!$T$2/3600</f>
        <v>5.1614970000000006E-4</v>
      </c>
      <c r="U10" s="41">
        <f>K10*scenario1!$T$2/3600</f>
        <v>5.1561125E-4</v>
      </c>
    </row>
    <row r="11" spans="1:34" x14ac:dyDescent="0.2">
      <c r="A11" t="s">
        <v>52</v>
      </c>
      <c r="B11" s="40">
        <v>4.0921299999999997E-5</v>
      </c>
      <c r="C11" s="41">
        <v>3.0747930000000001</v>
      </c>
      <c r="D11" s="40">
        <v>5.4416500000000003E-5</v>
      </c>
      <c r="E11" s="41">
        <v>4.0274049999999999</v>
      </c>
      <c r="F11" s="40">
        <v>7.4381000000000005E-5</v>
      </c>
      <c r="G11" s="41">
        <v>5.4386159999999997</v>
      </c>
      <c r="H11" s="40">
        <v>8.7730499999999996E-5</v>
      </c>
      <c r="I11" s="41">
        <v>6.3332550000000003</v>
      </c>
      <c r="J11" s="40">
        <v>1.085502E-4</v>
      </c>
      <c r="K11" s="41">
        <v>7.7665509999999998</v>
      </c>
      <c r="L11" s="40">
        <f>B11*scenario1!$T$1</f>
        <v>1.0230324999999999E-4</v>
      </c>
      <c r="M11">
        <f>D11*scenario1!$T$1</f>
        <v>1.3604125E-4</v>
      </c>
      <c r="N11">
        <f>F11*scenario1!$T$1</f>
        <v>1.8595250000000001E-4</v>
      </c>
      <c r="O11">
        <f>H11*scenario1!$T$1</f>
        <v>2.1932625E-4</v>
      </c>
      <c r="P11" s="41">
        <f>J11*scenario1!$T$1</f>
        <v>2.7137549999999998E-4</v>
      </c>
      <c r="Q11" s="40">
        <f>C11*scenario1!$T$2/3600</f>
        <v>3.1004162750000001E-3</v>
      </c>
      <c r="R11">
        <f>E11*scenario1!$T$2/3600</f>
        <v>4.060966708333333E-3</v>
      </c>
      <c r="S11">
        <f>G11*scenario1!$T$2/3600</f>
        <v>5.4839377999999989E-3</v>
      </c>
      <c r="T11">
        <f>I11*scenario1!$T$2/3600</f>
        <v>6.3860321250000006E-3</v>
      </c>
      <c r="U11" s="41">
        <f>K11*scenario1!$T$2/3600</f>
        <v>7.8312722583333324E-3</v>
      </c>
    </row>
    <row r="12" spans="1:34" ht="16" thickBot="1" x14ac:dyDescent="0.25">
      <c r="A12" t="s">
        <v>53</v>
      </c>
      <c r="B12" s="42">
        <v>5.8802E-6</v>
      </c>
      <c r="C12" s="43">
        <v>0.50506499999999999</v>
      </c>
      <c r="D12" s="42">
        <v>6.1133999999999998E-6</v>
      </c>
      <c r="E12" s="43">
        <v>0.50589700000000004</v>
      </c>
      <c r="F12" s="42">
        <v>5.6350999999999996E-6</v>
      </c>
      <c r="G12" s="43">
        <v>0.50390299999999999</v>
      </c>
      <c r="H12" s="42">
        <v>5.7512000000000001E-6</v>
      </c>
      <c r="I12" s="43">
        <v>0.50523300000000004</v>
      </c>
      <c r="J12" s="42">
        <v>5.7830999999999997E-6</v>
      </c>
      <c r="K12" s="43">
        <v>0.503552</v>
      </c>
      <c r="L12" s="42">
        <f>B12*scenario1!$T$1</f>
        <v>1.4700499999999999E-5</v>
      </c>
      <c r="M12" s="47">
        <f>D12*scenario1!$T$1</f>
        <v>1.52835E-5</v>
      </c>
      <c r="N12" s="47">
        <f>F12*scenario1!$T$1</f>
        <v>1.4087749999999999E-5</v>
      </c>
      <c r="O12" s="47">
        <f>H12*scenario1!$T$1</f>
        <v>1.4378E-5</v>
      </c>
      <c r="P12" s="43">
        <f>J12*scenario1!$T$1</f>
        <v>1.4457749999999999E-5</v>
      </c>
      <c r="Q12" s="42">
        <f>C12*scenario1!$T$2/3600</f>
        <v>5.0927387499999995E-4</v>
      </c>
      <c r="R12" s="47">
        <f>E12*scenario1!$T$2/3600</f>
        <v>5.1011280833333339E-4</v>
      </c>
      <c r="S12" s="47">
        <f>G12*scenario1!$T$2/3600</f>
        <v>5.0810219166666666E-4</v>
      </c>
      <c r="T12" s="47">
        <f>I12*scenario1!$T$2/3600</f>
        <v>5.0944327500000003E-4</v>
      </c>
      <c r="U12" s="43">
        <f>K12*scenario1!$T$2/3600</f>
        <v>5.0774826666666664E-4</v>
      </c>
    </row>
  </sheetData>
  <mergeCells count="7">
    <mergeCell ref="Q7:U7"/>
    <mergeCell ref="B7:C7"/>
    <mergeCell ref="D7:E7"/>
    <mergeCell ref="F7:G7"/>
    <mergeCell ref="H7:I7"/>
    <mergeCell ref="J7:K7"/>
    <mergeCell ref="L7:P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2DC79-494B-43E4-8071-64FFF1EBFA5F}">
  <dimension ref="A1:T14"/>
  <sheetViews>
    <sheetView topLeftCell="I1" zoomScale="72" workbookViewId="0">
      <selection activeCell="T19" sqref="T19"/>
    </sheetView>
  </sheetViews>
  <sheetFormatPr baseColWidth="10" defaultColWidth="8.83203125" defaultRowHeight="15" x14ac:dyDescent="0.2"/>
  <cols>
    <col min="5" max="5" width="15.5" bestFit="1" customWidth="1"/>
    <col min="6" max="6" width="20.6640625" customWidth="1"/>
    <col min="8" max="8" width="11" bestFit="1" customWidth="1"/>
    <col min="9" max="9" width="12" bestFit="1" customWidth="1"/>
    <col min="10" max="10" width="12.5" bestFit="1" customWidth="1"/>
    <col min="11" max="11" width="11" bestFit="1" customWidth="1"/>
    <col min="12" max="12" width="12.5" bestFit="1" customWidth="1"/>
    <col min="13" max="13" width="11" bestFit="1" customWidth="1"/>
    <col min="16" max="17" width="11" bestFit="1" customWidth="1"/>
    <col min="18" max="18" width="9.33203125" bestFit="1" customWidth="1"/>
    <col min="19" max="19" width="11" bestFit="1" customWidth="1"/>
    <col min="20" max="20" width="9.33203125" bestFit="1" customWidth="1"/>
  </cols>
  <sheetData>
    <row r="1" spans="1:20" x14ac:dyDescent="0.2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7</v>
      </c>
      <c r="H1" t="s">
        <v>0</v>
      </c>
      <c r="I1" t="s">
        <v>1</v>
      </c>
      <c r="J1" t="s">
        <v>8</v>
      </c>
      <c r="K1" t="s">
        <v>9</v>
      </c>
      <c r="L1" t="s">
        <v>10</v>
      </c>
      <c r="M1" t="s">
        <v>7</v>
      </c>
      <c r="O1" t="s">
        <v>0</v>
      </c>
      <c r="P1" t="s">
        <v>1</v>
      </c>
      <c r="Q1" t="s">
        <v>8</v>
      </c>
      <c r="R1" t="s">
        <v>9</v>
      </c>
      <c r="S1" t="s">
        <v>10</v>
      </c>
      <c r="T1" t="s">
        <v>7</v>
      </c>
    </row>
    <row r="2" spans="1:20" x14ac:dyDescent="0.2">
      <c r="A2" t="s">
        <v>2</v>
      </c>
      <c r="B2">
        <v>6.3136800000000002E-5</v>
      </c>
      <c r="C2">
        <v>9.5747E-6</v>
      </c>
      <c r="D2">
        <v>1</v>
      </c>
      <c r="E2">
        <v>1.9915430000000001</v>
      </c>
      <c r="F2">
        <v>1.9915430000000001</v>
      </c>
      <c r="H2" t="s">
        <v>2</v>
      </c>
      <c r="I2">
        <v>7.4548000000000002E-6</v>
      </c>
      <c r="J2">
        <v>1.1305E-6</v>
      </c>
      <c r="K2">
        <v>1</v>
      </c>
      <c r="L2">
        <v>0.564971</v>
      </c>
      <c r="M2">
        <v>0.564971</v>
      </c>
      <c r="O2" t="s">
        <v>2</v>
      </c>
      <c r="P2">
        <v>7.5661999999999997E-6</v>
      </c>
      <c r="Q2">
        <v>1.1474E-6</v>
      </c>
      <c r="R2">
        <v>1</v>
      </c>
      <c r="S2">
        <v>0.58143500000000004</v>
      </c>
      <c r="T2">
        <v>0.58143500000000004</v>
      </c>
    </row>
    <row r="3" spans="1:20" x14ac:dyDescent="0.2">
      <c r="A3" t="s">
        <v>3</v>
      </c>
      <c r="B3">
        <v>1.2906094E-3</v>
      </c>
      <c r="C3">
        <v>1.9572090000000001E-4</v>
      </c>
      <c r="D3">
        <v>2001</v>
      </c>
      <c r="E3">
        <v>11.761557</v>
      </c>
      <c r="F3">
        <v>5.8780000000000004E-3</v>
      </c>
      <c r="H3" t="s">
        <v>3</v>
      </c>
      <c r="I3">
        <v>2.6660274000000002E-3</v>
      </c>
      <c r="J3">
        <v>4.0430309999999999E-4</v>
      </c>
      <c r="K3">
        <v>2001</v>
      </c>
      <c r="L3">
        <v>25.093298999999998</v>
      </c>
      <c r="M3">
        <v>1.2540000000000001E-2</v>
      </c>
      <c r="O3" t="s">
        <v>3</v>
      </c>
      <c r="P3">
        <v>4.1596994000000003E-3</v>
      </c>
      <c r="Q3">
        <v>6.3081840000000003E-4</v>
      </c>
      <c r="R3">
        <v>2001</v>
      </c>
      <c r="S3">
        <v>40.285348999999997</v>
      </c>
      <c r="T3">
        <v>2.0133000000000002E-2</v>
      </c>
    </row>
    <row r="4" spans="1:20" x14ac:dyDescent="0.2">
      <c r="A4" t="s">
        <v>4</v>
      </c>
      <c r="B4">
        <v>2.1640565999999999E-3</v>
      </c>
      <c r="C4">
        <v>3.2817920000000002E-4</v>
      </c>
      <c r="D4">
        <v>2001</v>
      </c>
      <c r="E4">
        <v>19.721439</v>
      </c>
      <c r="F4">
        <v>9.8560000000000002E-3</v>
      </c>
      <c r="H4" t="s">
        <v>4</v>
      </c>
      <c r="I4">
        <v>4.2093110999999999E-3</v>
      </c>
      <c r="J4">
        <v>6.3834199999999997E-4</v>
      </c>
      <c r="K4">
        <v>2001</v>
      </c>
      <c r="L4">
        <v>39.619059999999998</v>
      </c>
      <c r="M4">
        <v>1.9800000000000002E-2</v>
      </c>
      <c r="O4" t="s">
        <v>4</v>
      </c>
      <c r="P4">
        <v>6.335724E-3</v>
      </c>
      <c r="Q4">
        <v>9.6081249999999997E-4</v>
      </c>
      <c r="R4">
        <v>2001</v>
      </c>
      <c r="S4">
        <v>61.359448</v>
      </c>
      <c r="T4">
        <v>3.0664E-2</v>
      </c>
    </row>
    <row r="5" spans="1:20" x14ac:dyDescent="0.2">
      <c r="A5" t="s">
        <v>5</v>
      </c>
      <c r="B5">
        <v>8.1413320000000005E-4</v>
      </c>
      <c r="C5">
        <v>1.234633E-4</v>
      </c>
      <c r="D5">
        <v>11</v>
      </c>
      <c r="E5">
        <v>12.516548999999999</v>
      </c>
      <c r="F5">
        <v>1.1378680000000001</v>
      </c>
      <c r="H5" t="s">
        <v>5</v>
      </c>
      <c r="I5">
        <v>1.4162937999999999E-3</v>
      </c>
      <c r="J5">
        <v>2.1478099999999999E-4</v>
      </c>
      <c r="K5">
        <v>11</v>
      </c>
      <c r="L5">
        <v>17.485375999999999</v>
      </c>
      <c r="M5">
        <v>1.58958</v>
      </c>
      <c r="O5" t="s">
        <v>5</v>
      </c>
      <c r="P5">
        <v>2.0114846999999998E-3</v>
      </c>
      <c r="Q5">
        <v>3.050417E-4</v>
      </c>
      <c r="R5">
        <v>11</v>
      </c>
      <c r="S5">
        <v>22.943655</v>
      </c>
      <c r="T5">
        <v>2.0857869999999998</v>
      </c>
    </row>
    <row r="6" spans="1:20" x14ac:dyDescent="0.2">
      <c r="A6" t="s">
        <v>6</v>
      </c>
      <c r="B6">
        <v>3.4546659999999999E-3</v>
      </c>
      <c r="C6">
        <v>5.2390010000000003E-4</v>
      </c>
      <c r="D6">
        <v>12</v>
      </c>
      <c r="E6">
        <v>42.287419999999997</v>
      </c>
      <c r="F6">
        <v>3.523952</v>
      </c>
      <c r="H6" t="s">
        <v>6</v>
      </c>
      <c r="I6">
        <v>6.8753384999999997E-3</v>
      </c>
      <c r="J6">
        <v>1.0426451000000001E-3</v>
      </c>
      <c r="K6">
        <v>12</v>
      </c>
      <c r="L6">
        <v>76.518215999999995</v>
      </c>
      <c r="M6">
        <v>6.3765179999999999</v>
      </c>
      <c r="O6" t="s">
        <v>6</v>
      </c>
      <c r="P6">
        <v>1.04954234E-2</v>
      </c>
      <c r="Q6">
        <v>1.591631E-3</v>
      </c>
      <c r="R6">
        <v>12</v>
      </c>
      <c r="S6">
        <v>114.15222300000001</v>
      </c>
      <c r="T6">
        <v>9.5126849999999994</v>
      </c>
    </row>
    <row r="7" spans="1:20" x14ac:dyDescent="0.2">
      <c r="A7" t="s">
        <v>25</v>
      </c>
      <c r="H7" t="s">
        <v>26</v>
      </c>
    </row>
    <row r="8" spans="1:20" ht="16" thickBot="1" x14ac:dyDescent="0.25"/>
    <row r="9" spans="1:20" x14ac:dyDescent="0.2">
      <c r="A9" t="s">
        <v>12</v>
      </c>
      <c r="B9" s="52" t="s">
        <v>1</v>
      </c>
      <c r="C9" s="53" t="s">
        <v>10</v>
      </c>
      <c r="D9" s="58" t="s">
        <v>1</v>
      </c>
      <c r="E9" s="59" t="s">
        <v>10</v>
      </c>
      <c r="F9" s="64" t="s">
        <v>1</v>
      </c>
      <c r="G9" s="65" t="s">
        <v>10</v>
      </c>
      <c r="H9" s="44" t="s">
        <v>32</v>
      </c>
      <c r="I9" s="45" t="s">
        <v>33</v>
      </c>
      <c r="J9" s="46" t="s">
        <v>34</v>
      </c>
      <c r="K9" s="44" t="s">
        <v>35</v>
      </c>
      <c r="L9" s="45" t="s">
        <v>36</v>
      </c>
      <c r="M9" s="46" t="s">
        <v>37</v>
      </c>
    </row>
    <row r="10" spans="1:20" x14ac:dyDescent="0.2">
      <c r="A10" t="s">
        <v>18</v>
      </c>
      <c r="B10" s="54">
        <v>6.3136800000000002E-5</v>
      </c>
      <c r="C10" s="55">
        <v>1.9915430000000001</v>
      </c>
      <c r="D10" s="60">
        <v>7.4548000000000002E-6</v>
      </c>
      <c r="E10" s="61">
        <v>0.564971</v>
      </c>
      <c r="F10" s="66">
        <v>7.5661999999999997E-6</v>
      </c>
      <c r="G10" s="67">
        <v>0.58143500000000004</v>
      </c>
      <c r="H10" s="40">
        <f>B10*scenario1!$T$1</f>
        <v>1.57842E-4</v>
      </c>
      <c r="I10">
        <f>C10*scenario1!$T$2/3600</f>
        <v>2.0081391916666668E-3</v>
      </c>
      <c r="J10" s="41">
        <f>D10*scenario1!$T$1</f>
        <v>1.8637000000000001E-5</v>
      </c>
      <c r="K10" s="40">
        <f>E10*scenario1!$T$2/3600</f>
        <v>5.6967909166666668E-4</v>
      </c>
      <c r="L10">
        <f>F10*scenario1!$T$1</f>
        <v>1.8915499999999999E-5</v>
      </c>
      <c r="M10" s="41">
        <f>G10*scenario1!$T$2/3600</f>
        <v>5.8628029166666663E-4</v>
      </c>
    </row>
    <row r="11" spans="1:20" x14ac:dyDescent="0.2">
      <c r="A11" t="s">
        <v>19</v>
      </c>
      <c r="B11" s="54">
        <v>1.2906094E-3</v>
      </c>
      <c r="C11" s="55">
        <v>11.761557</v>
      </c>
      <c r="D11" s="60">
        <v>2.6660274000000002E-3</v>
      </c>
      <c r="E11" s="61">
        <v>25.093298999999998</v>
      </c>
      <c r="F11" s="66">
        <v>4.1596994000000003E-3</v>
      </c>
      <c r="G11" s="67">
        <v>40.285348999999997</v>
      </c>
      <c r="H11" s="40">
        <f>B11*scenario1!$T$1</f>
        <v>3.2265235E-3</v>
      </c>
      <c r="I11">
        <f>C11*scenario1!$T$2/3600</f>
        <v>1.1859569975E-2</v>
      </c>
      <c r="J11" s="41">
        <f>D11*scenario1!$T$1</f>
        <v>6.6650685000000003E-3</v>
      </c>
      <c r="K11" s="40">
        <f>E11*scenario1!$T$2/3600</f>
        <v>2.5302409824999997E-2</v>
      </c>
      <c r="L11">
        <f>F11*scenario1!$T$1</f>
        <v>1.0399248500000001E-2</v>
      </c>
      <c r="M11" s="41">
        <f>G11*scenario1!$T$2/3600</f>
        <v>4.0621060241666659E-2</v>
      </c>
    </row>
    <row r="12" spans="1:20" x14ac:dyDescent="0.2">
      <c r="A12" t="s">
        <v>20</v>
      </c>
      <c r="B12" s="54">
        <v>2.1640565999999999E-3</v>
      </c>
      <c r="C12" s="55">
        <v>19.721439</v>
      </c>
      <c r="D12" s="60">
        <v>4.2093110999999999E-3</v>
      </c>
      <c r="E12" s="61">
        <v>39.619059999999998</v>
      </c>
      <c r="F12" s="66">
        <v>6.335724E-3</v>
      </c>
      <c r="G12" s="67">
        <v>61.359448</v>
      </c>
      <c r="H12" s="40">
        <f>B12*scenario1!$T$1</f>
        <v>5.4101415E-3</v>
      </c>
      <c r="I12">
        <f>C12*scenario1!$T$2/3600</f>
        <v>1.9885784324999999E-2</v>
      </c>
      <c r="J12" s="41">
        <f>D12*scenario1!$T$1</f>
        <v>1.0523277750000001E-2</v>
      </c>
      <c r="K12" s="40">
        <f>E12*scenario1!$T$2/3600</f>
        <v>3.9949218833333335E-2</v>
      </c>
      <c r="L12">
        <f>F12*scenario1!$T$1</f>
        <v>1.5839309999999999E-2</v>
      </c>
      <c r="M12" s="41">
        <f>G12*scenario1!$T$2/3600</f>
        <v>6.1870776733333334E-2</v>
      </c>
    </row>
    <row r="13" spans="1:20" x14ac:dyDescent="0.2">
      <c r="A13" t="s">
        <v>21</v>
      </c>
      <c r="B13" s="54">
        <v>8.1413320000000005E-4</v>
      </c>
      <c r="C13" s="55">
        <v>12.516548999999999</v>
      </c>
      <c r="D13" s="60">
        <v>1.4162937999999999E-3</v>
      </c>
      <c r="E13" s="61">
        <v>17.485375999999999</v>
      </c>
      <c r="F13" s="66">
        <v>2.0114846999999998E-3</v>
      </c>
      <c r="G13" s="67">
        <v>22.943655</v>
      </c>
      <c r="H13" s="40">
        <f>B13*scenario1!$T$1</f>
        <v>2.0353330000000003E-3</v>
      </c>
      <c r="I13">
        <f>C13*scenario1!$T$2/3600</f>
        <v>1.2620853575E-2</v>
      </c>
      <c r="J13" s="41">
        <f>D13*scenario1!$T$1</f>
        <v>3.5407345E-3</v>
      </c>
      <c r="K13" s="40">
        <f>E13*scenario1!$T$2/3600</f>
        <v>1.7631087466666664E-2</v>
      </c>
      <c r="L13">
        <f>F13*scenario1!$T$1</f>
        <v>5.0287117499999996E-3</v>
      </c>
      <c r="M13" s="41">
        <f>G13*scenario1!$T$2/3600</f>
        <v>2.3134852125000001E-2</v>
      </c>
    </row>
    <row r="14" spans="1:20" ht="16" thickBot="1" x14ac:dyDescent="0.25">
      <c r="A14" t="s">
        <v>22</v>
      </c>
      <c r="B14" s="56">
        <v>3.4546659999999999E-3</v>
      </c>
      <c r="C14" s="57">
        <v>42.287419999999997</v>
      </c>
      <c r="D14" s="62">
        <v>6.8753384999999997E-3</v>
      </c>
      <c r="E14" s="63">
        <v>76.518215999999995</v>
      </c>
      <c r="F14" s="68">
        <v>1.04954234E-2</v>
      </c>
      <c r="G14" s="69">
        <v>114.15222300000001</v>
      </c>
      <c r="H14" s="42">
        <f>B14*scenario1!$T$1</f>
        <v>8.636665E-3</v>
      </c>
      <c r="I14" s="47">
        <f>C14*scenario1!$T$2/3600</f>
        <v>4.2639815166666664E-2</v>
      </c>
      <c r="J14" s="43">
        <f>D14*scenario1!$T$1</f>
        <v>1.718834625E-2</v>
      </c>
      <c r="K14" s="42">
        <f>E14*scenario1!$T$2/3600</f>
        <v>7.71558678E-2</v>
      </c>
      <c r="L14" s="47">
        <f>F14*scenario1!$T$1</f>
        <v>2.6238558500000002E-2</v>
      </c>
      <c r="M14" s="43">
        <f>G14*scenario1!$T$2/3600</f>
        <v>0.11510349152499999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8231-BEE8-4BBF-BCE4-A69D62D11E43}">
  <dimension ref="A1:V14"/>
  <sheetViews>
    <sheetView topLeftCell="C5" zoomScaleNormal="85" workbookViewId="0">
      <selection activeCell="N19" sqref="N19"/>
    </sheetView>
  </sheetViews>
  <sheetFormatPr baseColWidth="10" defaultColWidth="8.83203125" defaultRowHeight="15" x14ac:dyDescent="0.2"/>
  <cols>
    <col min="8" max="8" width="11" bestFit="1" customWidth="1"/>
    <col min="9" max="10" width="12.5" bestFit="1" customWidth="1"/>
    <col min="11" max="12" width="12" bestFit="1" customWidth="1"/>
    <col min="13" max="13" width="11" bestFit="1" customWidth="1"/>
  </cols>
  <sheetData>
    <row r="1" spans="1:22" x14ac:dyDescent="0.2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7</v>
      </c>
      <c r="I1" t="s">
        <v>0</v>
      </c>
      <c r="J1" t="s">
        <v>1</v>
      </c>
      <c r="K1" t="s">
        <v>8</v>
      </c>
      <c r="L1" t="s">
        <v>9</v>
      </c>
      <c r="M1" t="s">
        <v>10</v>
      </c>
      <c r="N1" t="s">
        <v>7</v>
      </c>
      <c r="Q1" t="s">
        <v>0</v>
      </c>
      <c r="R1" t="s">
        <v>1</v>
      </c>
      <c r="S1" t="s">
        <v>8</v>
      </c>
      <c r="T1" t="s">
        <v>9</v>
      </c>
      <c r="U1" t="s">
        <v>10</v>
      </c>
      <c r="V1" t="s">
        <v>7</v>
      </c>
    </row>
    <row r="2" spans="1:22" x14ac:dyDescent="0.2">
      <c r="A2" t="s">
        <v>2</v>
      </c>
      <c r="B2">
        <v>7.0485400000000001E-5</v>
      </c>
      <c r="C2">
        <v>1.0689100000000001E-5</v>
      </c>
      <c r="D2">
        <v>1</v>
      </c>
      <c r="E2">
        <v>1.9625280000000001</v>
      </c>
      <c r="F2">
        <v>1.9625280000000001</v>
      </c>
      <c r="I2" t="s">
        <v>2</v>
      </c>
      <c r="J2">
        <v>7.379E-6</v>
      </c>
      <c r="K2">
        <v>1.119E-6</v>
      </c>
      <c r="L2">
        <v>1</v>
      </c>
      <c r="M2">
        <v>0.53937299999999999</v>
      </c>
      <c r="N2">
        <v>0.53937299999999999</v>
      </c>
      <c r="Q2" t="s">
        <v>2</v>
      </c>
      <c r="R2">
        <v>7.6653999999999995E-6</v>
      </c>
      <c r="S2">
        <v>1.1625000000000001E-6</v>
      </c>
      <c r="T2">
        <v>1</v>
      </c>
      <c r="U2">
        <v>0.54219200000000001</v>
      </c>
      <c r="V2">
        <v>0.54219200000000001</v>
      </c>
    </row>
    <row r="3" spans="1:22" x14ac:dyDescent="0.2">
      <c r="A3" t="s">
        <v>3</v>
      </c>
      <c r="B3">
        <v>1.4352403000000001E-3</v>
      </c>
      <c r="C3">
        <v>2.176542E-4</v>
      </c>
      <c r="D3">
        <v>2001</v>
      </c>
      <c r="E3">
        <v>11.822478</v>
      </c>
      <c r="F3">
        <v>5.9080000000000001E-3</v>
      </c>
      <c r="I3" t="s">
        <v>3</v>
      </c>
      <c r="J3">
        <v>2.4782434999999999E-3</v>
      </c>
      <c r="K3">
        <v>3.7582559999999997E-4</v>
      </c>
      <c r="L3">
        <v>2001</v>
      </c>
      <c r="M3">
        <v>20.289444</v>
      </c>
      <c r="N3">
        <v>1.014E-2</v>
      </c>
      <c r="Q3" t="s">
        <v>3</v>
      </c>
      <c r="R3">
        <v>3.5375799000000002E-3</v>
      </c>
      <c r="S3">
        <v>5.36474E-4</v>
      </c>
      <c r="T3">
        <v>2001</v>
      </c>
      <c r="U3">
        <v>29.281016000000001</v>
      </c>
      <c r="V3">
        <v>1.4633E-2</v>
      </c>
    </row>
    <row r="4" spans="1:22" x14ac:dyDescent="0.2">
      <c r="A4" t="s">
        <v>4</v>
      </c>
      <c r="B4">
        <v>2.4125686000000001E-3</v>
      </c>
      <c r="C4">
        <v>3.6586600000000001E-4</v>
      </c>
      <c r="D4">
        <v>2001</v>
      </c>
      <c r="E4">
        <v>19.873006</v>
      </c>
      <c r="F4">
        <v>9.9319999999999999E-3</v>
      </c>
      <c r="I4" t="s">
        <v>4</v>
      </c>
      <c r="J4">
        <v>3.9378325000000002E-3</v>
      </c>
      <c r="K4">
        <v>5.9717229999999997E-4</v>
      </c>
      <c r="L4">
        <v>2001</v>
      </c>
      <c r="M4">
        <v>32.239136999999999</v>
      </c>
      <c r="N4">
        <v>1.6112000000000001E-2</v>
      </c>
      <c r="Q4" t="s">
        <v>4</v>
      </c>
      <c r="R4">
        <v>5.4437619E-3</v>
      </c>
      <c r="S4">
        <v>8.2554649999999998E-4</v>
      </c>
      <c r="T4">
        <v>2001</v>
      </c>
      <c r="U4">
        <v>45.058737000000001</v>
      </c>
      <c r="V4">
        <v>2.2518E-2</v>
      </c>
    </row>
    <row r="5" spans="1:22" x14ac:dyDescent="0.2">
      <c r="A5" t="s">
        <v>5</v>
      </c>
      <c r="B5">
        <v>9.3828460000000005E-4</v>
      </c>
      <c r="C5">
        <v>1.422909E-4</v>
      </c>
      <c r="D5">
        <v>11</v>
      </c>
      <c r="E5">
        <v>12.829312</v>
      </c>
      <c r="F5">
        <v>1.166301</v>
      </c>
      <c r="I5" t="s">
        <v>5</v>
      </c>
      <c r="J5">
        <v>1.3781404000000001E-3</v>
      </c>
      <c r="K5">
        <v>2.0899499999999999E-4</v>
      </c>
      <c r="L5">
        <v>11</v>
      </c>
      <c r="M5">
        <v>16.611433999999999</v>
      </c>
      <c r="N5">
        <v>1.51013</v>
      </c>
      <c r="Q5" t="s">
        <v>5</v>
      </c>
      <c r="R5">
        <v>1.8492016E-3</v>
      </c>
      <c r="S5">
        <v>2.8043140000000001E-4</v>
      </c>
      <c r="T5">
        <v>11</v>
      </c>
      <c r="U5">
        <v>21.013466000000001</v>
      </c>
      <c r="V5">
        <v>1.910315</v>
      </c>
    </row>
    <row r="6" spans="1:22" x14ac:dyDescent="0.2">
      <c r="A6" t="s">
        <v>6</v>
      </c>
      <c r="B6">
        <v>3.8478090000000002E-3</v>
      </c>
      <c r="C6">
        <v>5.8352019999999998E-4</v>
      </c>
      <c r="D6">
        <v>12</v>
      </c>
      <c r="E6">
        <v>42.665211999999997</v>
      </c>
      <c r="F6">
        <v>3.555434</v>
      </c>
      <c r="I6" t="s">
        <v>6</v>
      </c>
      <c r="J6">
        <v>6.4160759999999997E-3</v>
      </c>
      <c r="K6">
        <v>9.7299789999999995E-4</v>
      </c>
      <c r="L6">
        <v>12</v>
      </c>
      <c r="M6">
        <v>66.858996000000005</v>
      </c>
      <c r="N6">
        <v>5.5715830000000004</v>
      </c>
      <c r="Q6" t="s">
        <v>6</v>
      </c>
      <c r="R6">
        <v>8.9813418000000006E-3</v>
      </c>
      <c r="S6">
        <v>1.3620205E-3</v>
      </c>
      <c r="T6">
        <v>12</v>
      </c>
      <c r="U6">
        <v>93.491877000000002</v>
      </c>
      <c r="V6">
        <v>7.7909899999999999</v>
      </c>
    </row>
    <row r="7" spans="1:22" x14ac:dyDescent="0.2">
      <c r="A7" t="s">
        <v>38</v>
      </c>
      <c r="I7" t="s">
        <v>39</v>
      </c>
    </row>
    <row r="8" spans="1:22" ht="16" thickBot="1" x14ac:dyDescent="0.25"/>
    <row r="9" spans="1:22" x14ac:dyDescent="0.2">
      <c r="A9" t="s">
        <v>12</v>
      </c>
      <c r="B9" s="44" t="s">
        <v>1</v>
      </c>
      <c r="C9" s="46" t="s">
        <v>10</v>
      </c>
      <c r="D9" s="44" t="s">
        <v>1</v>
      </c>
      <c r="E9" s="46" t="s">
        <v>10</v>
      </c>
      <c r="F9" s="44" t="s">
        <v>1</v>
      </c>
      <c r="G9" s="46" t="s">
        <v>10</v>
      </c>
      <c r="H9" s="44" t="s">
        <v>40</v>
      </c>
      <c r="I9" s="45" t="s">
        <v>41</v>
      </c>
      <c r="J9" s="46" t="s">
        <v>42</v>
      </c>
      <c r="K9" s="44" t="s">
        <v>43</v>
      </c>
      <c r="L9" s="45" t="s">
        <v>44</v>
      </c>
      <c r="M9" s="46" t="s">
        <v>45</v>
      </c>
    </row>
    <row r="10" spans="1:22" x14ac:dyDescent="0.2">
      <c r="A10" t="s">
        <v>18</v>
      </c>
      <c r="B10" s="40">
        <v>7.0485400000000001E-5</v>
      </c>
      <c r="C10" s="41">
        <v>1.9625280000000001</v>
      </c>
      <c r="D10" s="40">
        <v>7.379E-6</v>
      </c>
      <c r="E10" s="41">
        <v>0.53937299999999999</v>
      </c>
      <c r="F10" s="40">
        <v>7.6653999999999995E-6</v>
      </c>
      <c r="G10" s="41">
        <v>0.54219200000000001</v>
      </c>
      <c r="H10" s="40">
        <f>B10*scenario1!$T$1</f>
        <v>1.762135E-4</v>
      </c>
      <c r="I10">
        <f>D10*scenario1!$T$1</f>
        <v>1.8447499999999999E-5</v>
      </c>
      <c r="J10" s="41">
        <f>F10*scenario1!$T$1</f>
        <v>1.91635E-5</v>
      </c>
      <c r="K10" s="40">
        <f>C10*scenario1!$T$2/3600</f>
        <v>1.9788824000000001E-3</v>
      </c>
      <c r="L10">
        <f>E10*scenario1!$T$2/3600</f>
        <v>5.438677749999999E-4</v>
      </c>
      <c r="M10" s="41">
        <f>G10*scenario1!$T$2/3600</f>
        <v>5.4671026666666667E-4</v>
      </c>
    </row>
    <row r="11" spans="1:22" x14ac:dyDescent="0.2">
      <c r="A11" t="s">
        <v>19</v>
      </c>
      <c r="B11" s="40">
        <v>1.4352403000000001E-3</v>
      </c>
      <c r="C11" s="41">
        <v>11.822478</v>
      </c>
      <c r="D11" s="40">
        <v>2.4782434999999999E-3</v>
      </c>
      <c r="E11" s="41">
        <v>20.289444</v>
      </c>
      <c r="F11" s="40">
        <v>3.5375799000000002E-3</v>
      </c>
      <c r="G11" s="41">
        <v>29.281016000000001</v>
      </c>
      <c r="H11" s="40">
        <f>B11*scenario1!$T$1</f>
        <v>3.5881007499999999E-3</v>
      </c>
      <c r="I11">
        <f>D11*scenario1!$T$1</f>
        <v>6.1956087499999996E-3</v>
      </c>
      <c r="J11" s="41">
        <f>F11*scenario1!$T$1</f>
        <v>8.8439497499999999E-3</v>
      </c>
      <c r="K11" s="40">
        <f>C11*scenario1!$T$2/3600</f>
        <v>1.192099865E-2</v>
      </c>
      <c r="L11">
        <f>E11*scenario1!$T$2/3600</f>
        <v>2.0458522699999999E-2</v>
      </c>
      <c r="M11" s="41">
        <f>G11*scenario1!$T$2/3600</f>
        <v>2.9525024466666668E-2</v>
      </c>
    </row>
    <row r="12" spans="1:22" x14ac:dyDescent="0.2">
      <c r="A12" t="s">
        <v>20</v>
      </c>
      <c r="B12" s="40">
        <v>2.4125686000000001E-3</v>
      </c>
      <c r="C12" s="41">
        <v>19.873006</v>
      </c>
      <c r="D12" s="40">
        <v>3.9378325000000002E-3</v>
      </c>
      <c r="E12" s="41">
        <v>32.239136999999999</v>
      </c>
      <c r="F12" s="40">
        <v>5.4437619E-3</v>
      </c>
      <c r="G12" s="41">
        <v>45.058737000000001</v>
      </c>
      <c r="H12" s="40">
        <f>B12*scenario1!$T$1</f>
        <v>6.0314215000000001E-3</v>
      </c>
      <c r="I12">
        <f>D12*scenario1!$T$1</f>
        <v>9.8445812500000014E-3</v>
      </c>
      <c r="J12" s="41">
        <f>F12*scenario1!$T$1</f>
        <v>1.360940475E-2</v>
      </c>
      <c r="K12" s="40">
        <f>C12*scenario1!$T$2/3600</f>
        <v>2.0038614383333334E-2</v>
      </c>
      <c r="L12">
        <f>E12*scenario1!$T$2/3600</f>
        <v>3.2507796474999996E-2</v>
      </c>
      <c r="M12" s="41">
        <f>G12*scenario1!$T$2/3600</f>
        <v>4.5434226474999999E-2</v>
      </c>
    </row>
    <row r="13" spans="1:22" x14ac:dyDescent="0.2">
      <c r="A13" t="s">
        <v>21</v>
      </c>
      <c r="B13" s="40">
        <v>9.3828460000000005E-4</v>
      </c>
      <c r="C13" s="41">
        <v>12.829312</v>
      </c>
      <c r="D13" s="40">
        <v>1.3781404000000001E-3</v>
      </c>
      <c r="E13" s="41">
        <v>16.611433999999999</v>
      </c>
      <c r="F13" s="40">
        <v>1.8492016E-3</v>
      </c>
      <c r="G13" s="41">
        <v>21.013466000000001</v>
      </c>
      <c r="H13" s="40">
        <f>B13*scenario1!$T$1</f>
        <v>2.3457115000000001E-3</v>
      </c>
      <c r="I13">
        <f>D13*scenario1!$T$1</f>
        <v>3.4453510000000001E-3</v>
      </c>
      <c r="J13" s="41">
        <f>F13*scenario1!$T$1</f>
        <v>4.623004E-3</v>
      </c>
      <c r="K13" s="40">
        <f>C13*scenario1!$T$2/3600</f>
        <v>1.2936222933333333E-2</v>
      </c>
      <c r="L13">
        <f>E13*scenario1!$T$2/3600</f>
        <v>1.6749862616666666E-2</v>
      </c>
      <c r="M13" s="41">
        <f>G13*scenario1!$T$2/3600</f>
        <v>2.1188578216666667E-2</v>
      </c>
    </row>
    <row r="14" spans="1:22" ht="16" thickBot="1" x14ac:dyDescent="0.25">
      <c r="A14" t="s">
        <v>22</v>
      </c>
      <c r="B14" s="42">
        <v>3.8478090000000002E-3</v>
      </c>
      <c r="C14" s="43">
        <v>42.665211999999997</v>
      </c>
      <c r="D14" s="42">
        <v>6.4160759999999997E-3</v>
      </c>
      <c r="E14" s="43">
        <v>66.858996000000005</v>
      </c>
      <c r="F14" s="42">
        <v>8.9813418000000006E-3</v>
      </c>
      <c r="G14" s="43">
        <v>93.491877000000002</v>
      </c>
      <c r="H14" s="42">
        <f>B14*scenario1!$T$1</f>
        <v>9.6195224999999999E-3</v>
      </c>
      <c r="I14" s="47">
        <f>D14*scenario1!$T$1</f>
        <v>1.6040189999999999E-2</v>
      </c>
      <c r="J14" s="43">
        <f>F14*scenario1!$T$1</f>
        <v>2.2453354500000001E-2</v>
      </c>
      <c r="K14" s="42">
        <f>C14*scenario1!$T$2/3600</f>
        <v>4.3020755433333328E-2</v>
      </c>
      <c r="L14" s="47">
        <f>E14*scenario1!$T$2/3600</f>
        <v>6.7416154300000003E-2</v>
      </c>
      <c r="M14" s="43">
        <f>G14*scenario1!$T$2/3600</f>
        <v>9.4270975975000004E-2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12FA7-1805-48E3-B039-C01126540027}">
  <dimension ref="A1:AH12"/>
  <sheetViews>
    <sheetView topLeftCell="I6" workbookViewId="0">
      <selection activeCell="P34" sqref="P34"/>
    </sheetView>
  </sheetViews>
  <sheetFormatPr baseColWidth="10" defaultColWidth="8.83203125" defaultRowHeight="15" x14ac:dyDescent="0.2"/>
  <cols>
    <col min="1" max="1" width="16" customWidth="1"/>
    <col min="2" max="2" width="12.5" customWidth="1"/>
    <col min="3" max="3" width="16.6640625" customWidth="1"/>
    <col min="4" max="4" width="13.83203125" customWidth="1"/>
    <col min="5" max="5" width="16.1640625" customWidth="1"/>
    <col min="6" max="6" width="12.33203125" customWidth="1"/>
    <col min="7" max="7" width="17" customWidth="1"/>
    <col min="8" max="8" width="12.83203125" customWidth="1"/>
    <col min="9" max="9" width="15.33203125" customWidth="1"/>
    <col min="10" max="10" width="12.5" customWidth="1"/>
    <col min="11" max="11" width="15.6640625" customWidth="1"/>
    <col min="12" max="12" width="11.6640625" customWidth="1"/>
    <col min="13" max="13" width="12.5" bestFit="1" customWidth="1"/>
    <col min="14" max="14" width="11.33203125" bestFit="1" customWidth="1"/>
    <col min="15" max="16" width="12.5" bestFit="1" customWidth="1"/>
    <col min="17" max="18" width="12" bestFit="1" customWidth="1"/>
    <col min="19" max="21" width="11" bestFit="1" customWidth="1"/>
  </cols>
  <sheetData>
    <row r="1" spans="1:34" x14ac:dyDescent="0.2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7</v>
      </c>
      <c r="H1" t="s">
        <v>0</v>
      </c>
      <c r="I1" t="s">
        <v>1</v>
      </c>
      <c r="J1" t="s">
        <v>8</v>
      </c>
      <c r="K1" t="s">
        <v>9</v>
      </c>
      <c r="L1" t="s">
        <v>10</v>
      </c>
      <c r="M1" t="s">
        <v>7</v>
      </c>
      <c r="O1" t="s">
        <v>0</v>
      </c>
      <c r="P1" t="s">
        <v>1</v>
      </c>
      <c r="Q1" t="s">
        <v>8</v>
      </c>
      <c r="R1" t="s">
        <v>9</v>
      </c>
      <c r="S1" t="s">
        <v>10</v>
      </c>
      <c r="T1" t="s">
        <v>7</v>
      </c>
      <c r="V1" t="s">
        <v>0</v>
      </c>
      <c r="W1" t="s">
        <v>1</v>
      </c>
      <c r="X1" t="s">
        <v>8</v>
      </c>
      <c r="Y1" t="s">
        <v>9</v>
      </c>
      <c r="Z1" t="s">
        <v>10</v>
      </c>
      <c r="AA1" t="s">
        <v>7</v>
      </c>
      <c r="AC1" t="s">
        <v>0</v>
      </c>
      <c r="AD1" t="s">
        <v>1</v>
      </c>
      <c r="AE1" t="s">
        <v>8</v>
      </c>
      <c r="AF1" t="s">
        <v>9</v>
      </c>
      <c r="AG1" t="s">
        <v>10</v>
      </c>
      <c r="AH1" t="s">
        <v>7</v>
      </c>
    </row>
    <row r="2" spans="1:34" x14ac:dyDescent="0.2">
      <c r="A2" t="s">
        <v>2</v>
      </c>
      <c r="B2">
        <v>8.3977999999999995E-6</v>
      </c>
      <c r="C2">
        <v>1.2735E-6</v>
      </c>
      <c r="D2">
        <v>1</v>
      </c>
      <c r="E2">
        <v>0.66991800000000001</v>
      </c>
      <c r="F2">
        <v>0.66991800000000001</v>
      </c>
      <c r="H2" t="s">
        <v>2</v>
      </c>
      <c r="I2">
        <v>8.9619999999999999E-6</v>
      </c>
      <c r="J2">
        <v>1.3591E-6</v>
      </c>
      <c r="K2">
        <v>1</v>
      </c>
      <c r="L2">
        <v>0.67552599999999996</v>
      </c>
      <c r="M2">
        <v>0.67552599999999996</v>
      </c>
      <c r="O2" t="s">
        <v>2</v>
      </c>
      <c r="P2">
        <v>6.3799999999999999E-6</v>
      </c>
      <c r="Q2">
        <v>9.6750000000000005E-7</v>
      </c>
      <c r="R2">
        <v>1</v>
      </c>
      <c r="S2">
        <v>0.59696499999999997</v>
      </c>
      <c r="T2">
        <v>0.59696499999999997</v>
      </c>
      <c r="V2" t="s">
        <v>2</v>
      </c>
      <c r="W2">
        <v>6.9062E-6</v>
      </c>
      <c r="X2">
        <v>1.0472999999999999E-6</v>
      </c>
      <c r="Y2">
        <v>1</v>
      </c>
      <c r="Z2">
        <v>0.61674700000000005</v>
      </c>
      <c r="AA2">
        <v>0.61674700000000005</v>
      </c>
      <c r="AC2" t="s">
        <v>2</v>
      </c>
      <c r="AD2">
        <v>7.1980000000000004E-6</v>
      </c>
      <c r="AE2">
        <v>1.0916000000000001E-6</v>
      </c>
      <c r="AF2">
        <v>1</v>
      </c>
      <c r="AG2">
        <v>0.67436499999999999</v>
      </c>
      <c r="AH2">
        <v>0.67436499999999999</v>
      </c>
    </row>
    <row r="3" spans="1:34" x14ac:dyDescent="0.2">
      <c r="A3" t="s">
        <v>46</v>
      </c>
      <c r="B3">
        <v>5.5891000000000004E-6</v>
      </c>
      <c r="C3">
        <v>8.4760000000000005E-7</v>
      </c>
      <c r="D3">
        <v>1</v>
      </c>
      <c r="E3">
        <v>0.50930900000000001</v>
      </c>
      <c r="F3">
        <v>0.50930900000000001</v>
      </c>
      <c r="H3" t="s">
        <v>46</v>
      </c>
      <c r="I3">
        <v>6.156E-6</v>
      </c>
      <c r="J3">
        <v>9.3360000000000005E-7</v>
      </c>
      <c r="K3">
        <v>1</v>
      </c>
      <c r="L3">
        <v>0.51130399999999998</v>
      </c>
      <c r="M3">
        <v>0.51130399999999998</v>
      </c>
      <c r="O3" t="s">
        <v>46</v>
      </c>
      <c r="P3">
        <v>5.5299000000000002E-6</v>
      </c>
      <c r="Q3">
        <v>8.3860000000000001E-7</v>
      </c>
      <c r="R3">
        <v>1</v>
      </c>
      <c r="S3">
        <v>0.50962399999999997</v>
      </c>
      <c r="T3">
        <v>0.50962399999999997</v>
      </c>
      <c r="V3" t="s">
        <v>46</v>
      </c>
      <c r="W3">
        <v>5.7161999999999996E-6</v>
      </c>
      <c r="X3">
        <v>8.6690000000000001E-7</v>
      </c>
      <c r="Y3">
        <v>1</v>
      </c>
      <c r="Z3">
        <v>0.51316600000000001</v>
      </c>
      <c r="AA3">
        <v>0.51316600000000001</v>
      </c>
      <c r="AC3" t="s">
        <v>46</v>
      </c>
      <c r="AD3">
        <v>5.9279999999999998E-6</v>
      </c>
      <c r="AE3">
        <v>8.9899999999999999E-7</v>
      </c>
      <c r="AF3">
        <v>1</v>
      </c>
      <c r="AG3">
        <v>0.51008100000000001</v>
      </c>
      <c r="AH3">
        <v>0.51008100000000001</v>
      </c>
    </row>
    <row r="4" spans="1:34" x14ac:dyDescent="0.2">
      <c r="A4" t="s">
        <v>47</v>
      </c>
      <c r="B4">
        <v>5.4271899999999998E-5</v>
      </c>
      <c r="C4">
        <v>8.2302999999999998E-6</v>
      </c>
      <c r="D4">
        <v>1</v>
      </c>
      <c r="E4">
        <v>3.5216769999999999</v>
      </c>
      <c r="F4">
        <v>3.5216769999999999</v>
      </c>
      <c r="H4" t="s">
        <v>47</v>
      </c>
      <c r="I4">
        <v>3.8172E-5</v>
      </c>
      <c r="J4">
        <v>5.7888000000000004E-6</v>
      </c>
      <c r="K4">
        <v>1</v>
      </c>
      <c r="L4">
        <v>2.8616769999999998</v>
      </c>
      <c r="M4">
        <v>2.8616769999999998</v>
      </c>
      <c r="O4" t="s">
        <v>47</v>
      </c>
      <c r="P4">
        <v>4.00108E-5</v>
      </c>
      <c r="Q4">
        <v>6.0676000000000001E-6</v>
      </c>
      <c r="R4">
        <v>1</v>
      </c>
      <c r="S4">
        <v>3.0216470000000002</v>
      </c>
      <c r="T4">
        <v>3.0216470000000002</v>
      </c>
      <c r="V4" t="s">
        <v>47</v>
      </c>
      <c r="W4">
        <v>3.6740399999999998E-5</v>
      </c>
      <c r="X4">
        <v>5.5717000000000004E-6</v>
      </c>
      <c r="Y4">
        <v>1</v>
      </c>
      <c r="Z4">
        <v>2.8097819999999998</v>
      </c>
      <c r="AA4">
        <v>2.8097819999999998</v>
      </c>
      <c r="AC4" t="s">
        <v>47</v>
      </c>
      <c r="AD4">
        <v>3.9772499999999999E-5</v>
      </c>
      <c r="AE4">
        <v>6.0314999999999998E-6</v>
      </c>
      <c r="AF4">
        <v>1</v>
      </c>
      <c r="AG4">
        <v>2.9834580000000002</v>
      </c>
      <c r="AH4">
        <v>2.9834580000000002</v>
      </c>
    </row>
    <row r="5" spans="1:34" x14ac:dyDescent="0.2">
      <c r="A5" t="s">
        <v>48</v>
      </c>
      <c r="B5">
        <v>6.2339999999999999E-6</v>
      </c>
      <c r="C5">
        <v>9.4539999999999998E-7</v>
      </c>
      <c r="D5">
        <v>1</v>
      </c>
      <c r="E5">
        <v>0.50710200000000005</v>
      </c>
      <c r="F5">
        <v>0.50710200000000005</v>
      </c>
      <c r="H5" t="s">
        <v>48</v>
      </c>
      <c r="I5">
        <v>5.9065000000000001E-6</v>
      </c>
      <c r="J5">
        <v>8.9569999999999995E-7</v>
      </c>
      <c r="K5">
        <v>1</v>
      </c>
      <c r="L5">
        <v>0.50463999999999998</v>
      </c>
      <c r="M5">
        <v>0.50463999999999998</v>
      </c>
      <c r="O5" t="s">
        <v>48</v>
      </c>
      <c r="P5">
        <v>5.9761000000000003E-6</v>
      </c>
      <c r="Q5">
        <v>9.0630000000000001E-7</v>
      </c>
      <c r="R5">
        <v>1</v>
      </c>
      <c r="S5">
        <v>0.50745700000000005</v>
      </c>
      <c r="T5">
        <v>0.50745700000000005</v>
      </c>
      <c r="V5" t="s">
        <v>48</v>
      </c>
      <c r="W5">
        <v>5.6961999999999998E-6</v>
      </c>
      <c r="X5">
        <v>8.6379999999999999E-7</v>
      </c>
      <c r="Y5">
        <v>1</v>
      </c>
      <c r="Z5">
        <v>0.50416000000000005</v>
      </c>
      <c r="AA5">
        <v>0.50416000000000005</v>
      </c>
      <c r="AC5" t="s">
        <v>48</v>
      </c>
      <c r="AD5">
        <v>5.9529999999999996E-6</v>
      </c>
      <c r="AE5">
        <v>9.0279999999999996E-7</v>
      </c>
      <c r="AF5">
        <v>1</v>
      </c>
      <c r="AG5">
        <v>0.50788299999999997</v>
      </c>
      <c r="AH5">
        <v>0.50788299999999997</v>
      </c>
    </row>
    <row r="6" spans="1:34" x14ac:dyDescent="0.2">
      <c r="A6">
        <v>0.6</v>
      </c>
      <c r="H6">
        <v>0.8</v>
      </c>
      <c r="O6">
        <v>1</v>
      </c>
      <c r="V6">
        <v>1.2</v>
      </c>
      <c r="AC6">
        <v>1.4</v>
      </c>
    </row>
    <row r="8" spans="1:34" x14ac:dyDescent="0.2">
      <c r="A8" t="s">
        <v>12</v>
      </c>
      <c r="B8" s="9" t="s">
        <v>11</v>
      </c>
      <c r="C8" s="10" t="s">
        <v>50</v>
      </c>
      <c r="D8" s="15" t="s">
        <v>11</v>
      </c>
      <c r="E8" s="16" t="s">
        <v>50</v>
      </c>
      <c r="F8" s="21" t="s">
        <v>11</v>
      </c>
      <c r="G8" s="22" t="s">
        <v>50</v>
      </c>
      <c r="H8" s="27" t="s">
        <v>11</v>
      </c>
      <c r="I8" s="28" t="s">
        <v>50</v>
      </c>
      <c r="J8" s="33" t="s">
        <v>11</v>
      </c>
      <c r="K8" s="34" t="s">
        <v>50</v>
      </c>
      <c r="L8" t="s">
        <v>49</v>
      </c>
      <c r="M8" t="s">
        <v>54</v>
      </c>
      <c r="N8" t="s">
        <v>55</v>
      </c>
      <c r="O8" t="s">
        <v>56</v>
      </c>
      <c r="P8" t="s">
        <v>57</v>
      </c>
      <c r="Q8" t="s">
        <v>49</v>
      </c>
      <c r="R8" t="s">
        <v>54</v>
      </c>
      <c r="S8" t="s">
        <v>55</v>
      </c>
      <c r="T8" t="s">
        <v>56</v>
      </c>
      <c r="U8" t="s">
        <v>57</v>
      </c>
    </row>
    <row r="9" spans="1:34" x14ac:dyDescent="0.2">
      <c r="A9" t="s">
        <v>18</v>
      </c>
      <c r="B9" s="11">
        <v>8.3977999999999995E-6</v>
      </c>
      <c r="C9" s="12">
        <v>0.66991800000000001</v>
      </c>
      <c r="D9" s="17">
        <v>8.9619999999999999E-6</v>
      </c>
      <c r="E9" s="18">
        <v>0.67552599999999996</v>
      </c>
      <c r="F9" s="23">
        <v>6.3799999999999999E-6</v>
      </c>
      <c r="G9" s="24">
        <v>0.59696499999999997</v>
      </c>
      <c r="H9" s="29">
        <v>6.9062E-6</v>
      </c>
      <c r="I9" s="30">
        <v>0.61674700000000005</v>
      </c>
      <c r="J9" s="35">
        <v>7.1980000000000004E-6</v>
      </c>
      <c r="K9" s="36">
        <v>0.67436499999999999</v>
      </c>
      <c r="L9" s="2">
        <f>B9*scenario1!$T$1</f>
        <v>2.0994499999999997E-5</v>
      </c>
      <c r="M9" s="2">
        <f>D9*scenario1!$T$1</f>
        <v>2.2405E-5</v>
      </c>
      <c r="N9" s="2">
        <f>F9*scenario1!$T$1</f>
        <v>1.5950000000000001E-5</v>
      </c>
      <c r="O9" s="2">
        <f>H9*scenario1!$T$1</f>
        <v>1.7265499999999999E-5</v>
      </c>
      <c r="P9" s="3">
        <f>J9*scenario1!$T$1</f>
        <v>1.7995E-5</v>
      </c>
      <c r="Q9" s="1">
        <f>C9*scenario1!$T$2/3600</f>
        <v>6.7550065E-4</v>
      </c>
      <c r="R9" s="2">
        <f>E9*scenario1!$T$2/3600</f>
        <v>6.811553833333333E-4</v>
      </c>
      <c r="S9" s="2">
        <f>G9*scenario1!$T$2/3600</f>
        <v>6.019397083333333E-4</v>
      </c>
      <c r="T9" s="2">
        <f>I9*scenario1!$T$2/3600</f>
        <v>6.2188655833333344E-4</v>
      </c>
      <c r="U9" s="3">
        <f>K9*scenario1!$T$2/3600</f>
        <v>6.7998470833333341E-4</v>
      </c>
    </row>
    <row r="10" spans="1:34" x14ac:dyDescent="0.2">
      <c r="A10" t="s">
        <v>51</v>
      </c>
      <c r="B10" s="11">
        <v>5.5891000000000004E-6</v>
      </c>
      <c r="C10" s="12">
        <v>0.50930900000000001</v>
      </c>
      <c r="D10" s="17">
        <v>6.156E-6</v>
      </c>
      <c r="E10" s="18">
        <v>0.51130399999999998</v>
      </c>
      <c r="F10" s="23">
        <v>5.5299000000000002E-6</v>
      </c>
      <c r="G10" s="24">
        <v>0.50962399999999997</v>
      </c>
      <c r="H10" s="29">
        <v>5.7161999999999996E-6</v>
      </c>
      <c r="I10" s="30">
        <v>0.51316600000000001</v>
      </c>
      <c r="J10" s="35">
        <v>5.9279999999999998E-6</v>
      </c>
      <c r="K10" s="36">
        <v>0.51008100000000001</v>
      </c>
      <c r="L10">
        <f>B10*scenario1!$T$1</f>
        <v>1.3972750000000001E-5</v>
      </c>
      <c r="M10">
        <f>D10*scenario1!$T$1</f>
        <v>1.539E-5</v>
      </c>
      <c r="N10">
        <f>F10*scenario1!$T$1</f>
        <v>1.382475E-5</v>
      </c>
      <c r="O10">
        <f>H10*scenario1!$T$1</f>
        <v>1.4290499999999998E-5</v>
      </c>
      <c r="P10" s="5">
        <f>J10*scenario1!$T$1</f>
        <v>1.482E-5</v>
      </c>
      <c r="Q10" s="4">
        <f>C10*scenario1!$T$2/3600</f>
        <v>5.1355324166666664E-4</v>
      </c>
      <c r="R10">
        <f>E10*scenario1!$T$2/3600</f>
        <v>5.1556486666666664E-4</v>
      </c>
      <c r="S10">
        <f>G10*scenario1!$T$2/3600</f>
        <v>5.1387086666666664E-4</v>
      </c>
      <c r="T10">
        <f>I10*scenario1!$T$2/3600</f>
        <v>5.1744238333333329E-4</v>
      </c>
      <c r="U10" s="5">
        <f>K10*scenario1!$T$2/3600</f>
        <v>5.1433167500000005E-4</v>
      </c>
    </row>
    <row r="11" spans="1:34" x14ac:dyDescent="0.2">
      <c r="A11" t="s">
        <v>52</v>
      </c>
      <c r="B11" s="11">
        <v>5.4271899999999998E-5</v>
      </c>
      <c r="C11" s="12">
        <v>3.5216769999999999</v>
      </c>
      <c r="D11" s="17">
        <v>3.8172E-5</v>
      </c>
      <c r="E11" s="18">
        <v>2.8616769999999998</v>
      </c>
      <c r="F11" s="23">
        <v>4.00108E-5</v>
      </c>
      <c r="G11" s="24">
        <v>3.0216470000000002</v>
      </c>
      <c r="H11" s="29">
        <v>3.6740399999999998E-5</v>
      </c>
      <c r="I11" s="30">
        <v>2.8097819999999998</v>
      </c>
      <c r="J11" s="35">
        <v>3.9772499999999999E-5</v>
      </c>
      <c r="K11" s="36">
        <v>2.9834580000000002</v>
      </c>
      <c r="L11">
        <f>B11*scenario1!$T$1</f>
        <v>1.3567975E-4</v>
      </c>
      <c r="M11">
        <f>D11*scenario1!$T$1</f>
        <v>9.5429999999999999E-5</v>
      </c>
      <c r="N11">
        <f>F11*scenario1!$T$1</f>
        <v>1.00027E-4</v>
      </c>
      <c r="O11">
        <f>H11*scenario1!$T$1</f>
        <v>9.1850999999999999E-5</v>
      </c>
      <c r="P11" s="5">
        <f>J11*scenario1!$T$1</f>
        <v>9.9431249999999994E-5</v>
      </c>
      <c r="Q11" s="4">
        <f>C11*scenario1!$T$2/3600</f>
        <v>3.5510243083333335E-3</v>
      </c>
      <c r="R11">
        <f>E11*scenario1!$T$2/3600</f>
        <v>2.8855243083333328E-3</v>
      </c>
      <c r="S11">
        <f>G11*scenario1!$T$2/3600</f>
        <v>3.0468273916666668E-3</v>
      </c>
      <c r="T11">
        <f>I11*scenario1!$T$2/3600</f>
        <v>2.8331968499999997E-3</v>
      </c>
      <c r="U11" s="5">
        <f>K11*scenario1!$T$2/3600</f>
        <v>3.0083201500000004E-3</v>
      </c>
    </row>
    <row r="12" spans="1:34" x14ac:dyDescent="0.2">
      <c r="A12" t="s">
        <v>53</v>
      </c>
      <c r="B12" s="13">
        <v>6.2339999999999999E-6</v>
      </c>
      <c r="C12" s="14">
        <v>0.50710200000000005</v>
      </c>
      <c r="D12" s="19">
        <v>5.9065000000000001E-6</v>
      </c>
      <c r="E12" s="20">
        <v>0.50463999999999998</v>
      </c>
      <c r="F12" s="25">
        <v>5.9761000000000003E-6</v>
      </c>
      <c r="G12" s="26">
        <v>0.50745700000000005</v>
      </c>
      <c r="H12" s="31">
        <v>5.6961999999999998E-6</v>
      </c>
      <c r="I12" s="32">
        <v>0.50416000000000005</v>
      </c>
      <c r="J12" s="37">
        <v>5.9529999999999996E-6</v>
      </c>
      <c r="K12" s="38">
        <v>0.50788299999999997</v>
      </c>
      <c r="L12" s="7">
        <f>B12*scenario1!$T$1</f>
        <v>1.5585000000000001E-5</v>
      </c>
      <c r="M12" s="7">
        <f>D12*scenario1!$T$1</f>
        <v>1.4766250000000001E-5</v>
      </c>
      <c r="N12" s="7">
        <f>F12*scenario1!$T$1</f>
        <v>1.494025E-5</v>
      </c>
      <c r="O12" s="7">
        <f>H12*scenario1!$T$1</f>
        <v>1.42405E-5</v>
      </c>
      <c r="P12" s="8">
        <f>J12*scenario1!$T$1</f>
        <v>1.4882499999999999E-5</v>
      </c>
      <c r="Q12" s="6">
        <f>C12*scenario1!$T$2/3600</f>
        <v>5.1132784999999997E-4</v>
      </c>
      <c r="R12" s="7">
        <f>E12*scenario1!$T$2/3600</f>
        <v>5.0884533333333322E-4</v>
      </c>
      <c r="S12" s="7">
        <f>G12*scenario1!$T$2/3600</f>
        <v>5.1168580833333332E-4</v>
      </c>
      <c r="T12" s="7">
        <f>I12*scenario1!$T$2/3600</f>
        <v>5.0836133333333341E-4</v>
      </c>
      <c r="U12" s="8">
        <f>K12*scenario1!$T$2/3600</f>
        <v>5.1211535833333333E-4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6301-EEE8-4DA0-85FD-475DDC0CD531}">
  <dimension ref="A1:T15"/>
  <sheetViews>
    <sheetView topLeftCell="J3" zoomScale="109" workbookViewId="0">
      <selection activeCell="U1" sqref="U1"/>
    </sheetView>
  </sheetViews>
  <sheetFormatPr baseColWidth="10" defaultColWidth="8.83203125" defaultRowHeight="15" x14ac:dyDescent="0.2"/>
  <cols>
    <col min="1" max="1" width="19.1640625" customWidth="1"/>
    <col min="2" max="2" width="17.1640625" customWidth="1"/>
    <col min="3" max="5" width="19.1640625" customWidth="1"/>
    <col min="6" max="6" width="17.5" customWidth="1"/>
    <col min="7" max="7" width="18.5" customWidth="1"/>
    <col min="8" max="8" width="24.83203125" customWidth="1"/>
    <col min="9" max="9" width="12" bestFit="1" customWidth="1"/>
    <col min="19" max="19" width="41.1640625" customWidth="1"/>
  </cols>
  <sheetData>
    <row r="1" spans="1:20" x14ac:dyDescent="0.2">
      <c r="A1" t="s">
        <v>0</v>
      </c>
      <c r="B1" t="s">
        <v>1</v>
      </c>
      <c r="C1" t="s">
        <v>8</v>
      </c>
      <c r="F1" t="s">
        <v>9</v>
      </c>
      <c r="G1" t="s">
        <v>10</v>
      </c>
      <c r="H1" t="s">
        <v>7</v>
      </c>
      <c r="K1" t="s">
        <v>0</v>
      </c>
      <c r="L1" t="s">
        <v>1</v>
      </c>
      <c r="M1" t="s">
        <v>8</v>
      </c>
      <c r="N1" t="s">
        <v>9</v>
      </c>
      <c r="O1" t="s">
        <v>10</v>
      </c>
      <c r="P1" t="s">
        <v>7</v>
      </c>
      <c r="S1" t="s">
        <v>15</v>
      </c>
      <c r="T1">
        <v>2.5</v>
      </c>
    </row>
    <row r="2" spans="1:20" x14ac:dyDescent="0.2">
      <c r="A2" t="s">
        <v>2</v>
      </c>
      <c r="B2">
        <v>1.30783E-5</v>
      </c>
      <c r="C2">
        <v>1.9833000000000001E-6</v>
      </c>
      <c r="F2">
        <v>1</v>
      </c>
      <c r="G2">
        <v>1.8567629999999999</v>
      </c>
      <c r="H2">
        <v>1.8567629999999999</v>
      </c>
      <c r="K2" t="s">
        <v>2</v>
      </c>
      <c r="L2">
        <v>6.1307699999999996E-5</v>
      </c>
      <c r="M2">
        <v>9.2972999999999999E-6</v>
      </c>
      <c r="N2">
        <v>1</v>
      </c>
      <c r="O2">
        <v>2.0566179999999998</v>
      </c>
      <c r="P2">
        <v>2.0566179999999998</v>
      </c>
      <c r="S2" t="s">
        <v>16</v>
      </c>
      <c r="T2">
        <v>3.63</v>
      </c>
    </row>
    <row r="3" spans="1:20" x14ac:dyDescent="0.2">
      <c r="A3" t="s">
        <v>3</v>
      </c>
      <c r="B3">
        <v>4.3325163999999999E-3</v>
      </c>
      <c r="C3">
        <v>6.5702610000000004E-4</v>
      </c>
      <c r="F3">
        <v>2001</v>
      </c>
      <c r="G3">
        <v>549.39065000000005</v>
      </c>
      <c r="H3">
        <v>0.27455800000000002</v>
      </c>
      <c r="K3" t="s">
        <v>3</v>
      </c>
      <c r="L3">
        <v>1.3020963000000001E-3</v>
      </c>
      <c r="M3">
        <v>1.9746290000000001E-4</v>
      </c>
      <c r="N3">
        <v>2001</v>
      </c>
      <c r="O3">
        <v>11.958671000000001</v>
      </c>
      <c r="P3">
        <v>5.9760000000000004E-3</v>
      </c>
      <c r="S3" t="s">
        <v>17</v>
      </c>
      <c r="T3">
        <v>0.59</v>
      </c>
    </row>
    <row r="4" spans="1:20" x14ac:dyDescent="0.2">
      <c r="A4" t="s">
        <v>4</v>
      </c>
      <c r="B4">
        <v>5.2185673E-3</v>
      </c>
      <c r="C4">
        <v>7.9139569999999999E-4</v>
      </c>
      <c r="F4">
        <v>2001</v>
      </c>
      <c r="G4">
        <v>661.74754800000005</v>
      </c>
      <c r="H4">
        <v>0.330708</v>
      </c>
      <c r="K4" t="s">
        <v>4</v>
      </c>
      <c r="L4">
        <v>2.1557014E-3</v>
      </c>
      <c r="M4">
        <v>3.2691209999999998E-4</v>
      </c>
      <c r="N4">
        <v>2001</v>
      </c>
      <c r="O4">
        <v>19.798324000000001</v>
      </c>
      <c r="P4">
        <v>9.894E-3</v>
      </c>
    </row>
    <row r="5" spans="1:20" x14ac:dyDescent="0.2">
      <c r="A5" t="s">
        <v>5</v>
      </c>
      <c r="B5">
        <v>1.7301069E-3</v>
      </c>
      <c r="C5">
        <v>2.6237070000000002E-4</v>
      </c>
      <c r="F5">
        <v>11</v>
      </c>
      <c r="G5">
        <v>219.98661300000001</v>
      </c>
      <c r="H5">
        <v>19.998783</v>
      </c>
      <c r="K5" t="s">
        <v>5</v>
      </c>
      <c r="L5">
        <v>8.3394070000000005E-4</v>
      </c>
      <c r="M5">
        <v>1.2646709999999999E-4</v>
      </c>
      <c r="N5">
        <v>11</v>
      </c>
      <c r="O5">
        <v>12.760835</v>
      </c>
      <c r="P5">
        <v>1.1600760000000001</v>
      </c>
    </row>
    <row r="6" spans="1:20" x14ac:dyDescent="0.2">
      <c r="A6" t="s">
        <v>6</v>
      </c>
      <c r="B6">
        <v>9.5510837000000008E-3</v>
      </c>
      <c r="C6">
        <v>1.4484217999999999E-3</v>
      </c>
      <c r="F6">
        <v>12</v>
      </c>
      <c r="G6">
        <v>1225.679699</v>
      </c>
      <c r="H6">
        <v>102.13997500000001</v>
      </c>
      <c r="K6" t="s">
        <v>6</v>
      </c>
      <c r="L6">
        <v>3.4577978000000001E-3</v>
      </c>
      <c r="M6">
        <v>5.2437499999999999E-4</v>
      </c>
      <c r="N6">
        <v>12</v>
      </c>
      <c r="O6">
        <v>42.680410999999999</v>
      </c>
      <c r="P6">
        <v>3.5567009999999999</v>
      </c>
    </row>
    <row r="7" spans="1:20" ht="16" thickBot="1" x14ac:dyDescent="0.25"/>
    <row r="8" spans="1:20" x14ac:dyDescent="0.2">
      <c r="B8" s="70" t="s">
        <v>13</v>
      </c>
      <c r="C8" s="71"/>
      <c r="D8" s="48" t="s">
        <v>27</v>
      </c>
      <c r="E8" s="39" t="s">
        <v>24</v>
      </c>
      <c r="F8" s="70" t="s">
        <v>14</v>
      </c>
      <c r="G8" s="71"/>
      <c r="H8" s="45" t="s">
        <v>23</v>
      </c>
      <c r="I8" s="46" t="s">
        <v>24</v>
      </c>
    </row>
    <row r="9" spans="1:20" x14ac:dyDescent="0.2">
      <c r="A9" t="s">
        <v>12</v>
      </c>
      <c r="B9" s="40" t="s">
        <v>11</v>
      </c>
      <c r="C9" t="s">
        <v>65</v>
      </c>
      <c r="D9" t="s">
        <v>30</v>
      </c>
      <c r="E9" s="41" t="s">
        <v>31</v>
      </c>
      <c r="F9" s="40" t="s">
        <v>11</v>
      </c>
      <c r="G9" t="s">
        <v>65</v>
      </c>
      <c r="H9" t="s">
        <v>28</v>
      </c>
      <c r="I9" s="41" t="s">
        <v>29</v>
      </c>
    </row>
    <row r="10" spans="1:20" x14ac:dyDescent="0.2">
      <c r="A10" t="s">
        <v>18</v>
      </c>
      <c r="B10" s="40">
        <v>1.30783E-5</v>
      </c>
      <c r="C10">
        <v>1.8567629999999999</v>
      </c>
      <c r="D10">
        <f>B10*$T$1</f>
        <v>3.2695749999999996E-5</v>
      </c>
      <c r="E10" s="41">
        <f>C10*$T$3/3600</f>
        <v>3.0430282499999996E-4</v>
      </c>
      <c r="F10" s="40">
        <v>6.1307699999999996E-5</v>
      </c>
      <c r="G10">
        <v>2.0566179999999998</v>
      </c>
      <c r="H10">
        <f>F10*$T$1</f>
        <v>1.5326924999999999E-4</v>
      </c>
      <c r="I10" s="41">
        <f>G10*$T$2/3600</f>
        <v>2.0737564833333329E-3</v>
      </c>
    </row>
    <row r="11" spans="1:20" x14ac:dyDescent="0.2">
      <c r="A11" t="s">
        <v>19</v>
      </c>
      <c r="B11" s="40">
        <v>4.3325163999999999E-3</v>
      </c>
      <c r="C11">
        <v>549.39065000000005</v>
      </c>
      <c r="D11">
        <f t="shared" ref="D11:D14" si="0">B11*$T$1</f>
        <v>1.0831291E-2</v>
      </c>
      <c r="E11" s="41">
        <f>C11*$T$3/3600</f>
        <v>9.0039023194444442E-2</v>
      </c>
      <c r="F11" s="40">
        <v>1.3020963000000001E-3</v>
      </c>
      <c r="G11">
        <v>11.958671000000001</v>
      </c>
      <c r="H11">
        <f t="shared" ref="H11:H14" si="1">F11*$T$1</f>
        <v>3.25524075E-3</v>
      </c>
      <c r="I11" s="41">
        <f t="shared" ref="I11:I14" si="2">G11*$T$2/3600</f>
        <v>1.2058326591666666E-2</v>
      </c>
    </row>
    <row r="12" spans="1:20" x14ac:dyDescent="0.2">
      <c r="A12" t="s">
        <v>20</v>
      </c>
      <c r="B12" s="40">
        <v>5.2185673E-3</v>
      </c>
      <c r="C12">
        <v>661.74754800000005</v>
      </c>
      <c r="D12">
        <f t="shared" si="0"/>
        <v>1.304641825E-2</v>
      </c>
      <c r="E12" s="41">
        <f t="shared" ref="E12:E14" si="3">C12*$T$3/3600</f>
        <v>0.10845307036666667</v>
      </c>
      <c r="F12" s="40">
        <v>2.1557014E-3</v>
      </c>
      <c r="G12">
        <v>19.798324000000001</v>
      </c>
      <c r="H12">
        <f t="shared" si="1"/>
        <v>5.3892534999999998E-3</v>
      </c>
      <c r="I12" s="41">
        <f t="shared" si="2"/>
        <v>1.9963310033333334E-2</v>
      </c>
    </row>
    <row r="13" spans="1:20" x14ac:dyDescent="0.2">
      <c r="A13" t="s">
        <v>21</v>
      </c>
      <c r="B13" s="40">
        <v>1.7301069E-3</v>
      </c>
      <c r="C13">
        <v>219.98661300000001</v>
      </c>
      <c r="D13">
        <f t="shared" si="0"/>
        <v>4.3252672499999997E-3</v>
      </c>
      <c r="E13" s="41">
        <f t="shared" si="3"/>
        <v>3.6053361574999998E-2</v>
      </c>
      <c r="F13" s="40">
        <v>8.3394070000000005E-4</v>
      </c>
      <c r="G13">
        <v>12.760835</v>
      </c>
      <c r="H13">
        <f t="shared" si="1"/>
        <v>2.08485175E-3</v>
      </c>
      <c r="I13" s="41">
        <f t="shared" si="2"/>
        <v>1.2867175291666666E-2</v>
      </c>
    </row>
    <row r="14" spans="1:20" ht="16" thickBot="1" x14ac:dyDescent="0.25">
      <c r="A14" t="s">
        <v>22</v>
      </c>
      <c r="B14" s="42">
        <v>9.5510837000000008E-3</v>
      </c>
      <c r="C14" s="47">
        <v>1225.679699</v>
      </c>
      <c r="D14" s="47">
        <f t="shared" si="0"/>
        <v>2.3877709250000004E-2</v>
      </c>
      <c r="E14" s="43">
        <f t="shared" si="3"/>
        <v>0.20087528400277777</v>
      </c>
      <c r="F14" s="42">
        <v>3.4577978000000001E-3</v>
      </c>
      <c r="G14" s="47">
        <v>42.680410999999999</v>
      </c>
      <c r="H14" s="47">
        <f t="shared" si="1"/>
        <v>8.6444945000000006E-3</v>
      </c>
      <c r="I14" s="43">
        <f t="shared" si="2"/>
        <v>4.3036081091666664E-2</v>
      </c>
    </row>
    <row r="15" spans="1:20" x14ac:dyDescent="0.2">
      <c r="B15">
        <f>SUM(B10:B14)</f>
        <v>2.0845352600000002E-2</v>
      </c>
    </row>
  </sheetData>
  <mergeCells count="2">
    <mergeCell ref="B8:C8"/>
    <mergeCell ref="F8:G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BE31-10DA-F641-A047-C62043A125EB}">
  <dimension ref="R7:R14"/>
  <sheetViews>
    <sheetView tabSelected="1" topLeftCell="A21" zoomScale="125" zoomScaleNormal="125" workbookViewId="0">
      <selection activeCell="G33" sqref="F25:G33"/>
    </sheetView>
  </sheetViews>
  <sheetFormatPr baseColWidth="10" defaultRowHeight="15" x14ac:dyDescent="0.2"/>
  <cols>
    <col min="14" max="14" width="10.83203125" customWidth="1"/>
    <col min="18" max="18" width="49.83203125" customWidth="1"/>
  </cols>
  <sheetData>
    <row r="7" spans="18:18" ht="19" x14ac:dyDescent="0.2">
      <c r="R7" s="74" t="s">
        <v>68</v>
      </c>
    </row>
    <row r="10" spans="18:18" x14ac:dyDescent="0.2">
      <c r="R10" t="s">
        <v>67</v>
      </c>
    </row>
    <row r="14" spans="18:18" ht="19" x14ac:dyDescent="0.2">
      <c r="R14" s="73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scenario5</vt:lpstr>
      <vt:lpstr>scenario2</vt:lpstr>
      <vt:lpstr>scenario3</vt:lpstr>
      <vt:lpstr>scenario4</vt:lpstr>
      <vt:lpstr>scenario1</vt:lpstr>
      <vt:lpstr>infographic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Benas Skripkiunas</dc:creator>
  <cp:lastModifiedBy>Anders Otto Oscar Krenk</cp:lastModifiedBy>
  <dcterms:created xsi:type="dcterms:W3CDTF">2026-05-07T11:48:55Z</dcterms:created>
  <dcterms:modified xsi:type="dcterms:W3CDTF">2026-05-12T11:54:01Z</dcterms:modified>
</cp:coreProperties>
</file>